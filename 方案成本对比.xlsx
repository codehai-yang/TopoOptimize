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成本对比" sheetId="1" state="visible" r:id="rId1"/>
    <sheet name="误差汇总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真实成本 vs 预测成本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'方案成本对比'!F1</f>
            </strRef>
          </tx>
          <spPr>
            <a:ln>
              <a:prstDash val="solid"/>
            </a:ln>
          </spPr>
          <cat>
            <numRef>
              <f>'方案成本对比'!$A$2:$A$11</f>
            </numRef>
          </cat>
          <val>
            <numRef>
              <f>'方案成本对比'!$F$2:$F$11</f>
            </numRef>
          </val>
        </ser>
        <ser>
          <idx val="1"/>
          <order val="1"/>
          <tx>
            <strRef>
              <f>'方案成本对比'!G1</f>
            </strRef>
          </tx>
          <spPr>
            <a:ln>
              <a:prstDash val="solid"/>
            </a:ln>
          </spPr>
          <cat>
            <numRef>
              <f>'方案成本对比'!$A$2:$A$11</f>
            </numRef>
          </cat>
          <val>
            <numRef>
              <f>'方案成本对比'!$G$2:$G$11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成本(元)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8" customWidth="1" min="4" max="4"/>
    <col width="9" customWidth="1" min="5" max="5"/>
    <col width="14" customWidth="1" min="6" max="6"/>
    <col width="14" customWidth="1" min="7" max="7"/>
    <col width="12" customWidth="1" min="8" max="8"/>
    <col width="15" customWidth="1" min="9" max="9"/>
    <col width="10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方案序号</t>
        </is>
      </c>
      <c r="B1" s="1" t="inlineStr">
        <is>
          <t>是否初始方案</t>
        </is>
      </c>
      <c r="C1" s="1" t="inlineStr">
        <is>
          <t>topoId</t>
        </is>
      </c>
      <c r="D1" s="1" t="inlineStr">
        <is>
          <t>分支数</t>
        </is>
      </c>
      <c r="E1" s="1" t="inlineStr">
        <is>
          <t>分支点数</t>
        </is>
      </c>
      <c r="F1" s="1" t="inlineStr">
        <is>
          <t>真实成本(元)</t>
        </is>
      </c>
      <c r="G1" s="1" t="inlineStr">
        <is>
          <t>预测成本(元)</t>
        </is>
      </c>
      <c r="H1" s="1" t="inlineStr">
        <is>
          <t>误差(元)</t>
        </is>
      </c>
      <c r="I1" s="1" t="inlineStr">
        <is>
          <t>绝对误差率(%)</t>
        </is>
      </c>
      <c r="J1" s="1" t="inlineStr">
        <is>
          <t>真实排名</t>
        </is>
      </c>
      <c r="K1" s="1" t="inlineStr">
        <is>
          <t>预测排名</t>
        </is>
      </c>
      <c r="L1" s="1" t="inlineStr">
        <is>
          <t>总重量(克)</t>
        </is>
      </c>
      <c r="M1" s="1" t="inlineStr">
        <is>
          <t>总长度(米)</t>
        </is>
      </c>
    </row>
    <row r="2">
      <c r="A2" s="2" t="n">
        <v>1</v>
      </c>
      <c r="B2" s="2" t="inlineStr"/>
      <c r="C2" s="2" t="inlineStr">
        <is>
          <t>a36956c9-1c83-4fce-b677-e2afbe2dd43e</t>
        </is>
      </c>
      <c r="D2" s="2" t="n">
        <v>236</v>
      </c>
      <c r="E2" s="2" t="n">
        <v>189</v>
      </c>
      <c r="F2" s="2" t="n">
        <v>5552.08</v>
      </c>
      <c r="G2" s="2" t="n">
        <v>3363.89</v>
      </c>
      <c r="H2" s="2" t="n">
        <v>-2188.19</v>
      </c>
      <c r="I2" s="2" t="n">
        <v>39.41</v>
      </c>
      <c r="J2" s="2" t="n">
        <v>1</v>
      </c>
      <c r="K2" s="2" t="n">
        <v>8</v>
      </c>
      <c r="L2" s="2" t="n">
        <v>39510.5</v>
      </c>
      <c r="M2" s="2" t="n">
        <v>4522.61</v>
      </c>
    </row>
    <row r="3">
      <c r="A3" s="2" t="n">
        <v>2</v>
      </c>
      <c r="B3" s="2" t="inlineStr"/>
      <c r="C3" s="2" t="inlineStr">
        <is>
          <t>a36956c9-1c83-4fce-b677-e2afbe2dd43e</t>
        </is>
      </c>
      <c r="D3" s="2" t="n">
        <v>236</v>
      </c>
      <c r="E3" s="2" t="n">
        <v>189</v>
      </c>
      <c r="F3" s="2" t="n">
        <v>5556.72</v>
      </c>
      <c r="G3" s="2" t="n">
        <v>3317.65</v>
      </c>
      <c r="H3" s="2" t="n">
        <v>-2239.07</v>
      </c>
      <c r="I3" s="2" t="n">
        <v>40.29</v>
      </c>
      <c r="J3" s="2" t="n">
        <v>2.5</v>
      </c>
      <c r="K3" s="2" t="n">
        <v>6.5</v>
      </c>
      <c r="L3" s="2" t="n">
        <v>39574.1</v>
      </c>
      <c r="M3" s="2" t="n">
        <v>4535.03</v>
      </c>
    </row>
    <row r="4">
      <c r="A4" s="2" t="n">
        <v>3</v>
      </c>
      <c r="B4" s="2" t="inlineStr"/>
      <c r="C4" s="2" t="inlineStr">
        <is>
          <t>a36956c9-1c83-4fce-b677-e2afbe2dd43e</t>
        </is>
      </c>
      <c r="D4" s="2" t="n">
        <v>236</v>
      </c>
      <c r="E4" s="2" t="n">
        <v>189</v>
      </c>
      <c r="F4" s="2" t="n">
        <v>5556.72</v>
      </c>
      <c r="G4" s="2" t="n">
        <v>3317.65</v>
      </c>
      <c r="H4" s="2" t="n">
        <v>-2239.07</v>
      </c>
      <c r="I4" s="2" t="n">
        <v>40.29</v>
      </c>
      <c r="J4" s="2" t="n">
        <v>2.5</v>
      </c>
      <c r="K4" s="2" t="n">
        <v>6.5</v>
      </c>
      <c r="L4" s="2" t="n">
        <v>39574.1</v>
      </c>
      <c r="M4" s="2" t="n">
        <v>4535.03</v>
      </c>
    </row>
    <row r="5">
      <c r="A5" s="2" t="n">
        <v>4</v>
      </c>
      <c r="B5" s="2" t="inlineStr"/>
      <c r="C5" s="2" t="inlineStr">
        <is>
          <t>a36956c9-1c83-4fce-b677-e2afbe2dd43e</t>
        </is>
      </c>
      <c r="D5" s="2" t="n">
        <v>236</v>
      </c>
      <c r="E5" s="2" t="n">
        <v>189</v>
      </c>
      <c r="F5" s="2" t="n">
        <v>5615.98</v>
      </c>
      <c r="G5" s="2" t="n">
        <v>3315.69</v>
      </c>
      <c r="H5" s="2" t="n">
        <v>-2300.29</v>
      </c>
      <c r="I5" s="2" t="n">
        <v>40.96</v>
      </c>
      <c r="J5" s="2" t="n">
        <v>4.5</v>
      </c>
      <c r="K5" s="2" t="n">
        <v>4.5</v>
      </c>
      <c r="L5" s="2" t="n">
        <v>40749.39</v>
      </c>
      <c r="M5" s="2" t="n">
        <v>4609.6</v>
      </c>
    </row>
    <row r="6">
      <c r="A6" s="2" t="n">
        <v>5</v>
      </c>
      <c r="B6" s="2" t="inlineStr"/>
      <c r="C6" s="2" t="inlineStr">
        <is>
          <t>a36956c9-1c83-4fce-b677-e2afbe2dd43e</t>
        </is>
      </c>
      <c r="D6" s="2" t="n">
        <v>236</v>
      </c>
      <c r="E6" s="2" t="n">
        <v>189</v>
      </c>
      <c r="F6" s="2" t="n">
        <v>5615.98</v>
      </c>
      <c r="G6" s="2" t="n">
        <v>3315.69</v>
      </c>
      <c r="H6" s="2" t="n">
        <v>-2300.29</v>
      </c>
      <c r="I6" s="2" t="n">
        <v>40.96</v>
      </c>
      <c r="J6" s="2" t="n">
        <v>4.5</v>
      </c>
      <c r="K6" s="2" t="n">
        <v>4.5</v>
      </c>
      <c r="L6" s="2" t="n">
        <v>40749.39</v>
      </c>
      <c r="M6" s="2" t="n">
        <v>4609.6</v>
      </c>
    </row>
    <row r="7">
      <c r="A7" s="2" t="n">
        <v>6</v>
      </c>
      <c r="B7" s="2" t="inlineStr"/>
      <c r="C7" s="2" t="inlineStr">
        <is>
          <t>a36956c9-1c83-4fce-b677-e2afbe2dd43e</t>
        </is>
      </c>
      <c r="D7" s="2" t="n">
        <v>236</v>
      </c>
      <c r="E7" s="2" t="n">
        <v>189</v>
      </c>
      <c r="F7" s="2" t="n">
        <v>5620.18</v>
      </c>
      <c r="G7" s="2" t="n">
        <v>3288.47</v>
      </c>
      <c r="H7" s="2" t="n">
        <v>-2331.71</v>
      </c>
      <c r="I7" s="2" t="n">
        <v>41.49</v>
      </c>
      <c r="J7" s="2" t="n">
        <v>6.5</v>
      </c>
      <c r="K7" s="2" t="n">
        <v>2.5</v>
      </c>
      <c r="L7" s="2" t="n">
        <v>40806.17</v>
      </c>
      <c r="M7" s="2" t="n">
        <v>4620.42</v>
      </c>
    </row>
    <row r="8">
      <c r="A8" s="2" t="n">
        <v>7</v>
      </c>
      <c r="B8" s="2" t="inlineStr"/>
      <c r="C8" s="2" t="inlineStr">
        <is>
          <t>a36956c9-1c83-4fce-b677-e2afbe2dd43e</t>
        </is>
      </c>
      <c r="D8" s="2" t="n">
        <v>236</v>
      </c>
      <c r="E8" s="2" t="n">
        <v>189</v>
      </c>
      <c r="F8" s="2" t="n">
        <v>5620.18</v>
      </c>
      <c r="G8" s="2" t="n">
        <v>3288.47</v>
      </c>
      <c r="H8" s="2" t="n">
        <v>-2331.71</v>
      </c>
      <c r="I8" s="2" t="n">
        <v>41.49</v>
      </c>
      <c r="J8" s="2" t="n">
        <v>6.5</v>
      </c>
      <c r="K8" s="2" t="n">
        <v>2.5</v>
      </c>
      <c r="L8" s="2" t="n">
        <v>40806.17</v>
      </c>
      <c r="M8" s="2" t="n">
        <v>4620.42</v>
      </c>
    </row>
    <row r="9">
      <c r="A9" s="2" t="n">
        <v>8</v>
      </c>
      <c r="B9" s="2" t="inlineStr"/>
      <c r="C9" s="2" t="inlineStr">
        <is>
          <t>a36956c9-1c83-4fce-b677-e2afbe2dd43e</t>
        </is>
      </c>
      <c r="D9" s="2" t="n">
        <v>236</v>
      </c>
      <c r="E9" s="2" t="n">
        <v>189</v>
      </c>
      <c r="F9" s="2" t="n">
        <v>5631.55</v>
      </c>
      <c r="G9" s="2" t="n">
        <v>3528.85</v>
      </c>
      <c r="H9" s="2" t="n">
        <v>-2102.7</v>
      </c>
      <c r="I9" s="2" t="n">
        <v>37.34</v>
      </c>
      <c r="J9" s="2" t="n">
        <v>8</v>
      </c>
      <c r="K9" s="2" t="n">
        <v>10</v>
      </c>
      <c r="L9" s="2" t="n">
        <v>39709.82</v>
      </c>
      <c r="M9" s="2" t="n">
        <v>4502.77</v>
      </c>
    </row>
    <row r="10">
      <c r="A10" s="2" t="n">
        <v>9</v>
      </c>
      <c r="B10" s="2" t="inlineStr"/>
      <c r="C10" s="2" t="inlineStr">
        <is>
          <t>a36956c9-1c83-4fce-b677-e2afbe2dd43e</t>
        </is>
      </c>
      <c r="D10" s="2" t="n">
        <v>236</v>
      </c>
      <c r="E10" s="2" t="n">
        <v>189</v>
      </c>
      <c r="F10" s="2" t="n">
        <v>5638.31</v>
      </c>
      <c r="G10" s="2" t="n">
        <v>3497.12</v>
      </c>
      <c r="H10" s="2" t="n">
        <v>-2141.19</v>
      </c>
      <c r="I10" s="2" t="n">
        <v>37.98</v>
      </c>
      <c r="J10" s="2" t="n">
        <v>9</v>
      </c>
      <c r="K10" s="2" t="n">
        <v>9</v>
      </c>
      <c r="L10" s="2" t="n">
        <v>40161.93</v>
      </c>
      <c r="M10" s="2" t="n">
        <v>4590.78</v>
      </c>
    </row>
    <row r="11">
      <c r="A11" s="2" t="n">
        <v>10</v>
      </c>
      <c r="B11" s="2" t="inlineStr">
        <is>
          <t>是</t>
        </is>
      </c>
      <c r="C11" s="2" t="inlineStr">
        <is>
          <t>a36956c9-1c83-4fce-b677-e2afbe2dd43e</t>
        </is>
      </c>
      <c r="D11" s="2" t="n">
        <v>236</v>
      </c>
      <c r="E11" s="2" t="n">
        <v>189</v>
      </c>
      <c r="F11" s="2" t="n">
        <v>5749.64</v>
      </c>
      <c r="G11" s="2" t="n">
        <v>3064.81</v>
      </c>
      <c r="H11" s="2" t="n">
        <v>-2684.83</v>
      </c>
      <c r="I11" s="2" t="n">
        <v>46.7</v>
      </c>
      <c r="J11" s="2" t="n">
        <v>10</v>
      </c>
      <c r="K11" s="2" t="n">
        <v>1</v>
      </c>
      <c r="L11" s="2" t="n">
        <v>40456.43</v>
      </c>
      <c r="M11" s="2" t="n">
        <v>4543.12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3" t="inlineStr">
        <is>
          <t>方案数</t>
        </is>
      </c>
      <c r="B2" s="3" t="n">
        <v>10</v>
      </c>
    </row>
    <row r="3">
      <c r="A3" s="3" t="inlineStr">
        <is>
          <t>平均绝对误差 MAE(元)</t>
        </is>
      </c>
      <c r="B3" s="3" t="n">
        <v>2285.9</v>
      </c>
    </row>
    <row r="4">
      <c r="A4" s="3" t="inlineStr">
        <is>
          <t>均方根误差 RMSE(元)</t>
        </is>
      </c>
      <c r="B4" s="3" t="n">
        <v>2290.98</v>
      </c>
    </row>
    <row r="5">
      <c r="A5" s="3" t="inlineStr">
        <is>
          <t>平均绝对误差率 MAPE(%)</t>
        </is>
      </c>
      <c r="B5" s="3" t="n">
        <v>40.69</v>
      </c>
    </row>
    <row r="6">
      <c r="A6" s="3" t="inlineStr">
        <is>
          <t>平均偏差 bias(元)  正=高估</t>
        </is>
      </c>
      <c r="B6" s="3" t="n">
        <v>-2285.9</v>
      </c>
    </row>
    <row r="7">
      <c r="A7" s="3" t="inlineStr">
        <is>
          <t>最大绝对误差(元)</t>
        </is>
      </c>
      <c r="B7" s="3" t="n">
        <v>2684.83</v>
      </c>
    </row>
    <row r="8">
      <c r="A8" s="3" t="inlineStr">
        <is>
          <t>真实成本区间(元)</t>
        </is>
      </c>
      <c r="B8" s="3" t="inlineStr">
        <is>
          <t>5552.08 ~ 5749.64</t>
        </is>
      </c>
    </row>
    <row r="9">
      <c r="A9" s="3" t="inlineStr">
        <is>
          <t>预测成本区间(元)</t>
        </is>
      </c>
      <c r="B9" s="3" t="inlineStr">
        <is>
          <t>3064.81 ~ 3528.85</t>
        </is>
      </c>
    </row>
    <row r="10">
      <c r="A10" s="3" t="inlineStr">
        <is>
          <t>真实-预测 相关系数</t>
        </is>
      </c>
      <c r="B10" s="3" t="n">
        <v>-0.4547</v>
      </c>
    </row>
    <row r="11">
      <c r="A11" s="3" t="inlineStr">
        <is>
          <t>秩相关 Spearman(排名一致性)</t>
        </is>
      </c>
      <c r="B11" s="3" t="n">
        <v>-0.2222</v>
      </c>
    </row>
    <row r="12">
      <c r="A12" s="3" t="inlineStr">
        <is>
          <t>真实最优方案是否被预测选中</t>
        </is>
      </c>
      <c r="B12" s="3" t="inlineStr">
        <is>
          <t>否</t>
        </is>
      </c>
    </row>
    <row r="13">
      <c r="A13" s="3" t="inlineStr">
        <is>
          <t>模型权重</t>
        </is>
      </c>
      <c r="B13" s="3" t="inlineStr">
        <is>
          <t>best_modelV2.pt</t>
        </is>
      </c>
    </row>
    <row r="14">
      <c r="A14" s="3" t="inlineStr">
        <is>
          <t>归一化参数</t>
        </is>
      </c>
      <c r="B14" s="3" t="inlineStr">
        <is>
          <t>normalization_params.json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数据来源: F:\office\idearProjects\project20251009\src\main\resources\测试新遗传算法2.json</t>
        </is>
      </c>
    </row>
    <row r="2">
      <c r="A2" t="inlineStr">
        <is>
          <t>模型权重: F:\office\idearProjects\project20251009\src\main\resources\scripts\best_modelV2.pt</t>
        </is>
      </c>
    </row>
    <row r="3">
      <c r="A3" t="inlineStr">
        <is>
          <t>归一化参数: F:\office\idearProjects\project20251009\src\main\resources\scripts\normalization_params.json</t>
        </is>
      </c>
    </row>
    <row r="4">
      <c r="A4" t="inlineStr"/>
    </row>
    <row r="5">
      <c r="A5" t="inlineStr">
        <is>
          <t>特征构建口径（对齐 Java HarnessPackOpti.utils.Normalize#normalizeData）：</t>
        </is>
      </c>
    </row>
    <row r="6">
      <c r="A6" t="inlineStr">
        <is>
          <t>1. 节点 = 所有分支的起点/终点名称去重，共 N 个；GINE + global_add_pool 对节点排列等变，顺序不影响结果。</t>
        </is>
      </c>
    </row>
    <row r="7">
      <c r="A7" t="inlineStr">
        <is>
          <t>2. 节点特征 x[:, 0:N] = 回路单价矩阵：某条回路的起点位置 i、终点位置 j 时，x[i][j] += 该回路导线单价。</t>
        </is>
      </c>
    </row>
    <row r="8">
      <c r="A8" t="inlineStr">
        <is>
          <t>3. 节点特征 x[:, N] = 湿区成本：回路的回路湿区成本加成 &gt; 0 视为湿区回路，x[起点位置][N] += 导线单价。</t>
        </is>
      </c>
    </row>
    <row r="9">
      <c r="A9" t="inlineStr">
        <is>
          <t>4. 边特征 = [通断 one-hot(3), 分支长度]；B=[0,0,0]、C=[0,1,0]、S=[0,0,1]。</t>
        </is>
      </c>
    </row>
    <row r="10">
      <c r="A10" t="inlineStr">
        <is>
          <t>5. 分支长度取值：length（用户确认）&gt; referenceLength（参考）&gt; C/S 默认 200、B 默认 0。</t>
        </is>
      </c>
    </row>
    <row r="11">
      <c r="A11" t="inlineStr">
        <is>
          <t>6. 真实成本取自每个方案对象的 成本.总成本（由项目成本计算得出，非模型输出）。</t>
        </is>
      </c>
    </row>
    <row r="12">
      <c r="A12" t="inlineStr">
        <is>
          <t>7. 排名按成本升序（成本越低越好），并列取平均名次；秩相关越接近 1，说明模型给出的方案优劣顺序越可信。</t>
        </is>
      </c>
    </row>
    <row r="13">
      <c r="A13" t="inlineStr"/>
    </row>
    <row r="14">
      <c r="A14" t="inlineStr">
        <is>
          <t>注意：本脚本是离线复算。若 Java 端 elecFixedLocationLibrary 中的导线单价与 JSON 的 导线单价 字段不一致，</t>
        </is>
      </c>
    </row>
    <row r="15">
      <c r="A15" t="inlineStr">
        <is>
          <t>或湿区判定口径（pointList.waterParam）与 回路湿区成本加成 &gt; 0 不完全等价，预测值会有系统性偏移。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2026-10-27T09:30:31Z</dcterms:created>
  <dcterms:modified xsi:type="dcterms:W3CDTF">2026-10-27T09:30:31Z</dcterms:modified>
</cp:coreProperties>
</file>