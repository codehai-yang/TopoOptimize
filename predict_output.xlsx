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预测结果对比" sheetId="1" r:id="rId1"/>
  </sheets>
  <definedNames>
    <definedName name="_xlnm._FilterDatabase" localSheetId="0" hidden="1">预测结果对比!#REF!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<sst xmlns="http://schemas.openxmlformats.org/spreadsheetml/2006/main" count="31" uniqueCount="31">
  <si>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预测值 (Predicted)</t>
  </si>
  <si>
    <t>真实值 (Actual)</t>
  </si>
  <si>
    <t>差值 (Difference)</t>
  </si>
  <si>
    <t>相对误差</t>
  </si>
  <si>
    <t>正负趋势</t>
  </si>
  <si>
    <t>模型预测&gt;真实值数量</t>
  </si>
  <si>
    <t>模型预测&gt;真实值百分比</t>
  </si>
  <si>
    <t>区间</t>
  </si>
  <si>
    <t>数量</t>
  </si>
  <si>
    <t>0-1%</t>
  </si>
  <si>
    <t>模型预测&lt;真实值数量</t>
  </si>
  <si>
    <t>模型预测&lt;真实值百分比</t>
  </si>
  <si>
    <t>1-2%</t>
  </si>
  <si>
    <t>2-3%</t>
  </si>
  <si>
    <t>3-4%</t>
  </si>
  <si>
    <t>4-5%</t>
  </si>
  <si>
    <t>5-6%</t>
  </si>
  <si>
    <t>6-7%</t>
  </si>
  <si>
    <t>7-8%</t>
  </si>
  <si>
    <t>8-9%</t>
  </si>
  <si>
    <t>9-10%</t>
  </si>
  <si>
    <t>10-11%</t>
  </si>
  <si>
    <t>11-12%</t>
  </si>
  <si>
    <t>12-13%</t>
  </si>
  <si>
    <t>13-14%</t>
  </si>
  <si>
    <t>14-15%</t>
  </si>
  <si>
    <t>15-16%</t>
  </si>
  <si>
    <t>16-17%</t>
  </si>
  <si>
    <t>17-18%</t>
  </si>
  <si>
    <t>18-19%</t>
  </si>
  <si>
    <t>19-20%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</si>
</sst>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/>
    <xf numFmtId="0" fontId="2" fillId="0" borderId="0" xfId="0" applyFont="1" applyAlignment="1"/>
    <xf numFmtId="1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预测结果对比!$J$1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预测结果对比!$I$2:$I$21</c:f>
              <c:strCache>
                <c:ptCount val="20"/>
                <c:pt idx="0">
                  <c:v>0-1%</c:v>
                </c:pt>
                <c:pt idx="1">
                  <c:v>1-2%</c:v>
                </c:pt>
                <c:pt idx="2">
                  <c:v>2-3%</c:v>
                </c:pt>
                <c:pt idx="3">
                  <c:v>3-4%</c:v>
                </c:pt>
                <c:pt idx="4">
                  <c:v>4-5%</c:v>
                </c:pt>
                <c:pt idx="5">
                  <c:v>5-6%</c:v>
                </c:pt>
                <c:pt idx="6">
                  <c:v>6-7%</c:v>
                </c:pt>
                <c:pt idx="7">
                  <c:v>7-8%</c:v>
                </c:pt>
                <c:pt idx="8">
                  <c:v>8-9%</c:v>
                </c:pt>
                <c:pt idx="9">
                  <c:v>9-10%</c:v>
                </c:pt>
                <c:pt idx="10">
                  <c:v>10-11%</c:v>
                </c:pt>
                <c:pt idx="11">
                  <c:v>11-12%</c:v>
                </c:pt>
                <c:pt idx="12">
                  <c:v>12-13%</c:v>
                </c:pt>
                <c:pt idx="13">
                  <c:v>13-14%</c:v>
                </c:pt>
                <c:pt idx="14">
                  <c:v>14-15%</c:v>
                </c:pt>
                <c:pt idx="15">
                  <c:v>15-16%</c:v>
                </c:pt>
                <c:pt idx="16">
                  <c:v>16-17%</c:v>
                </c:pt>
                <c:pt idx="17">
                  <c:v>17-18%</c:v>
                </c:pt>
                <c:pt idx="18">
                  <c:v>18-19%</c:v>
                </c:pt>
                <c:pt idx="19">
                  <c:v>19-20%</c:v>
                </c:pt>
              </c:strCache>
            </c:strRef>
          </c:cat>
          <c:val>
            <c:numRef>
              <c:f>预测结果对比!$J$2:$J$21</c:f>
              <c:numCache>
                <c:formatCode>General</c:formatCode>
                <c:ptCount val="20"/>
                <c:pt idx="0">
                  <c:v>50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25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18183276"/>
        <c:axId val="731889133"/>
      </c:barChart>
      <c:catAx>
        <c:axId val="7181832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889133"/>
        <c:crosses val="autoZero"/>
        <c:auto val="1"/>
        <c:lblAlgn val="ctr"/>
        <c:lblOffset val="100"/>
        <c:noMultiLvlLbl val="0"/>
      </c:catAx>
      <c:valAx>
        <c:axId val="7318891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1832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6e48ec-f6c0-43b1-af73-f06f5ec17f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372110</xdr:colOff>
      <xdr:row>5</xdr:row>
      <xdr:rowOff>119380</xdr:rowOff>
    </xdr:from>
    <xdr:to>
      <xdr:col>16</xdr:col>
      <xdr:colOff>165735</xdr:colOff>
      <xdr:row>21</xdr:row>
      <xdr:rowOff>17780</xdr:rowOff>
    </xdr:to>
    <xdr:graphicFrame>
      <xdr:nvGraphicFramePr>
        <xdr:cNvPr id="5" name="图表 4"/>
        <xdr:cNvGraphicFramePr/>
      </xdr:nvGraphicFramePr>
      <xdr:xfrm>
        <a:off x="9481185" y="1014730"/>
        <a:ext cx="4822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tabSelected="1" zoomScale="145" zoomScaleNormal="145" workbookViewId="0">
      <selection activeCell="G9" sqref="G9"/>
    </sheetView>
  </sheetViews>
  <sheetFormatPr defaultColWidth="9" defaultRowHeight="14"/>
  <cols>
    <col min="1" max="1" width="15.0272727272727" customWidth="1"/>
    <col min="2" max="2" width="12.0909090909091" customWidth="1"/>
    <col min="3" max="3" width="14.6818181818182" customWidth="1"/>
    <col min="4" max="4" width="12.8181818181818"/>
    <col min="5" max="5" width="14"/>
    <col min="6" max="6" width="22.1909090909091" customWidth="1"/>
    <col min="7" max="7" width="30.6" customWidth="1"/>
    <col min="9" max="9" width="9" style="1"/>
  </cols>
  <sheetData>
    <row r="1" ht="14.5" spans="1:10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7</v>
      </c>
      <c r="J1" t="s">
        <v>8</v>
      </c>
    </row>
    <row r="2" spans="1:10">
      <c r="A2">
        <v>2307.81958007813</v>
      </c>
      <c r="B2">
        <v>2282.22</v>
      </c>
      <c r="C2">
        <f>A2-B2</f>
        <v>25.5995800781302</v>
      </c>
      <c r="D2" s="3">
        <f>C2/B2</f>
        <v>0.0112169642182306</v>
      </c>
      <c r="E2">
        <f>A2-B2</f>
        <v>25.5995800781302</v>
      </c>
      <c r="F2">
        <f>COUNTIF(E:E,"&gt;0")</f>
        <v>44</v>
      </c>
      <c r="G2" s="3">
        <f>F2/COUNT(E2:E98)</f>
        <v>0.45360824742268</v>
      </c>
      <c r="I2" s="1" t="s">
        <v>9</v>
      </c>
      <c r="J2">
        <f>COUNTIFS(D:D,"&gt;=0%",D:D,"&lt;1%")</f>
        <v>50</v>
      </c>
    </row>
    <row r="3" spans="1:10">
      <c r="A3">
        <v>2294.81787109375</v>
      </c>
      <c r="B3">
        <v>2284.89</v>
      </c>
      <c r="C3">
        <v>9.92787109375013</v>
      </c>
      <c r="D3" s="3">
        <f t="shared" ref="D3:D14" si="0">C3/B3</f>
        <v>0.00434501052293552</v>
      </c>
      <c r="E3">
        <f t="shared" ref="E3:E34" si="1">A3-B3</f>
        <v>9.92787109375013</v>
      </c>
      <c r="F3" t="s">
        <v>10</v>
      </c>
      <c r="G3" t="s">
        <v>11</v>
      </c>
      <c r="I3" s="1" t="s">
        <v>12</v>
      </c>
      <c r="J3">
        <f>COUNTIFS(D:D,"&gt;=1%",D:D,"&lt;2%")</f>
        <v>6</v>
      </c>
    </row>
    <row r="4" spans="1:10">
      <c r="A4">
        <v>2225.3212890625</v>
      </c>
      <c r="B4">
        <v>2276.75</v>
      </c>
      <c r="C4">
        <v>51.4287109375</v>
      </c>
      <c r="D4" s="3">
        <f t="shared" si="0"/>
        <v>0.0225886509004063</v>
      </c>
      <c r="E4">
        <f t="shared" si="1"/>
        <v>-51.4287109375</v>
      </c>
      <c r="F4">
        <f>COUNTIF(E:E,"&lt;0")</f>
        <v>53</v>
      </c>
      <c r="G4" s="3">
        <f>F4/COUNT(E4:E100)</f>
        <v>0.557894736842105</v>
      </c>
      <c r="I4" s="1" t="s">
        <v>13</v>
      </c>
      <c r="J4">
        <f>COUNTIFS(D:D,"&gt;=2%",D:D,"&lt;3%")</f>
        <v>5</v>
      </c>
    </row>
    <row r="5" spans="1:10">
      <c r="A5">
        <v>2294.32446289063</v>
      </c>
      <c r="B5">
        <v>2525.73</v>
      </c>
      <c r="C5">
        <v>231.405537109375</v>
      </c>
      <c r="D5" s="3">
        <f t="shared" si="0"/>
        <v>0.0916192693238687</v>
      </c>
      <c r="E5">
        <f t="shared" si="1"/>
        <v>-231.40553710937</v>
      </c>
      <c r="I5" s="1" t="s">
        <v>14</v>
      </c>
      <c r="J5">
        <f>COUNTIFS(D:D,"&gt;=3%",D:D,"&lt;4%")</f>
        <v>2</v>
      </c>
    </row>
    <row r="6" spans="1:10">
      <c r="A6">
        <v>2298.83081054688</v>
      </c>
      <c r="B6">
        <v>2308.55</v>
      </c>
      <c r="C6">
        <v>9.71918945312518</v>
      </c>
      <c r="D6" s="3">
        <f t="shared" si="0"/>
        <v>0.00421008401512862</v>
      </c>
      <c r="E6">
        <f t="shared" si="1"/>
        <v>-9.71918945312018</v>
      </c>
      <c r="I6" s="1" t="s">
        <v>15</v>
      </c>
      <c r="J6">
        <f>COUNTIFS(D:D,"&gt;=4%",D:D,"&lt;5%")</f>
        <v>0</v>
      </c>
    </row>
    <row r="7" spans="1:10">
      <c r="A7">
        <v>2294.83227539063</v>
      </c>
      <c r="B7">
        <v>2282.22</v>
      </c>
      <c r="C7">
        <v>12.6122753906252</v>
      </c>
      <c r="D7" s="3">
        <f t="shared" si="0"/>
        <v>0.00552631884333027</v>
      </c>
      <c r="E7">
        <f t="shared" si="1"/>
        <v>12.6122753906302</v>
      </c>
      <c r="I7" s="1" t="s">
        <v>16</v>
      </c>
      <c r="J7">
        <f>COUNTIFS(D:D,"&gt;=5%",D:D,"&lt;6%")</f>
        <v>1</v>
      </c>
    </row>
    <row r="8" spans="1:10">
      <c r="A8">
        <v>2285.8544921875</v>
      </c>
      <c r="B8">
        <v>2531.4</v>
      </c>
      <c r="C8">
        <v>245.5455078125</v>
      </c>
      <c r="D8" s="3">
        <f t="shared" si="0"/>
        <v>0.0969998845747412</v>
      </c>
      <c r="E8">
        <f t="shared" si="1"/>
        <v>-245.5455078125</v>
      </c>
      <c r="I8" s="1" t="s">
        <v>17</v>
      </c>
      <c r="J8">
        <f>COUNTIFS(D:D,"&gt;=6%",D:D,"&lt;7%")</f>
        <v>0</v>
      </c>
    </row>
    <row r="9" spans="1:10">
      <c r="A9">
        <v>2298.85766601563</v>
      </c>
      <c r="B9">
        <v>2285.05</v>
      </c>
      <c r="C9">
        <v>13.8076660156248</v>
      </c>
      <c r="D9" s="3">
        <f t="shared" si="0"/>
        <v>0.00604261001537157</v>
      </c>
      <c r="E9">
        <f t="shared" si="1"/>
        <v>13.8076660156298</v>
      </c>
      <c r="I9" s="1" t="s">
        <v>18</v>
      </c>
      <c r="J9">
        <f>COUNTIFS(D:D,"&gt;=7%",D:D,"&lt;8%")</f>
        <v>0</v>
      </c>
    </row>
    <row r="10" spans="1:10">
      <c r="A10">
        <v>2297.36499023438</v>
      </c>
      <c r="B10">
        <v>2284.7</v>
      </c>
      <c r="C10">
        <v>12.6649902343752</v>
      </c>
      <c r="D10" s="3">
        <f t="shared" si="0"/>
        <v>0.00554339310823093</v>
      </c>
      <c r="E10">
        <f t="shared" si="1"/>
        <v>12.6649902343802</v>
      </c>
      <c r="I10" s="1" t="s">
        <v>19</v>
      </c>
      <c r="J10">
        <f>COUNTIFS(D:D,"&gt;=8%",D:D,"&lt;9%")</f>
        <v>1</v>
      </c>
    </row>
    <row r="11" spans="1:10">
      <c r="A11">
        <v>2291.87353515625</v>
      </c>
      <c r="B11">
        <v>2285.05</v>
      </c>
      <c r="C11">
        <v>6.82353515624982</v>
      </c>
      <c r="D11" s="3">
        <f t="shared" si="0"/>
        <v>0.00298616448491272</v>
      </c>
      <c r="E11">
        <f t="shared" si="1"/>
        <v>6.82353515624982</v>
      </c>
      <c r="I11" s="1" t="s">
        <v>20</v>
      </c>
      <c r="J11">
        <f>COUNTIFS(D:D,"&gt;=9%",D:D,"&lt;10%")</f>
        <v>25</v>
      </c>
    </row>
    <row r="12" spans="1:10">
      <c r="A12">
        <v>2294.75390625</v>
      </c>
      <c r="B12">
        <v>2314.11</v>
      </c>
      <c r="C12">
        <v>19.3560937500001</v>
      </c>
      <c r="D12" s="3">
        <f t="shared" si="0"/>
        <v>0.00836437928620511</v>
      </c>
      <c r="E12">
        <f t="shared" si="1"/>
        <v>-19.3560937500001</v>
      </c>
      <c r="I12" s="1" t="s">
        <v>21</v>
      </c>
      <c r="J12">
        <f>COUNTIFS(D:D,"&gt;=10%",D:D,"&lt;11%")</f>
        <v>2</v>
      </c>
    </row>
    <row r="13" spans="1:10">
      <c r="A13">
        <v>2299.26416015625</v>
      </c>
      <c r="B13">
        <v>2366.24</v>
      </c>
      <c r="C13">
        <v>66.9758398437498</v>
      </c>
      <c r="D13" s="3">
        <f t="shared" si="0"/>
        <v>0.0283047534669982</v>
      </c>
      <c r="E13">
        <f t="shared" si="1"/>
        <v>-66.9758398437498</v>
      </c>
      <c r="I13" s="1" t="s">
        <v>22</v>
      </c>
      <c r="J13">
        <f>COUNTIFS(D:D,"&gt;=11%",D:D,"&lt;12%")</f>
        <v>2</v>
      </c>
    </row>
    <row r="14" spans="1:10">
      <c r="A14">
        <v>2286.28393554688</v>
      </c>
      <c r="B14">
        <v>2524.64</v>
      </c>
      <c r="C14">
        <v>238.356064453125</v>
      </c>
      <c r="D14" s="3">
        <f t="shared" si="0"/>
        <v>0.0944119020744047</v>
      </c>
      <c r="E14">
        <f t="shared" si="1"/>
        <v>-238.35606445312</v>
      </c>
      <c r="I14" s="1" t="s">
        <v>23</v>
      </c>
      <c r="J14">
        <f>COUNTIFS(D:D,"&gt;=12%",D:D,"&lt;13%")</f>
        <v>1</v>
      </c>
    </row>
    <row r="15" spans="1:10">
      <c r="A15">
        <v>2134.28442382813</v>
      </c>
      <c r="B15">
        <v>2577.02</v>
      </c>
      <c r="C15">
        <v>442.735576171875</v>
      </c>
      <c r="D15" s="3">
        <f t="shared" ref="D15:D46" si="2">C15/B15</f>
        <v>0.171801373746372</v>
      </c>
      <c r="E15">
        <f t="shared" si="1"/>
        <v>-442.73557617187</v>
      </c>
      <c r="I15" s="1" t="s">
        <v>24</v>
      </c>
      <c r="J15">
        <f>COUNTIFS(D:D,"&gt;=13%",D:D,"&lt;14%")</f>
        <v>1</v>
      </c>
    </row>
    <row r="16" spans="1:10">
      <c r="A16">
        <v>2295.28662109375</v>
      </c>
      <c r="B16">
        <v>2285.05</v>
      </c>
      <c r="C16">
        <v>10.2366210937498</v>
      </c>
      <c r="D16" s="3">
        <f t="shared" si="2"/>
        <v>0.00447982367727174</v>
      </c>
      <c r="E16">
        <f t="shared" si="1"/>
        <v>10.2366210937498</v>
      </c>
      <c r="I16" s="1" t="s">
        <v>25</v>
      </c>
      <c r="J16">
        <f>COUNTIFS(D:D,"&gt;=14%",D:D,"&lt;15%")</f>
        <v>0</v>
      </c>
    </row>
    <row r="17" spans="1:10">
      <c r="A17">
        <v>2296.79223632813</v>
      </c>
      <c r="B17">
        <v>2524.64</v>
      </c>
      <c r="C17">
        <v>227.847763671875</v>
      </c>
      <c r="D17" s="3">
        <f t="shared" si="2"/>
        <v>0.0902496053583382</v>
      </c>
      <c r="E17">
        <f t="shared" si="1"/>
        <v>-227.84776367187</v>
      </c>
      <c r="I17" s="1" t="s">
        <v>26</v>
      </c>
      <c r="J17">
        <f>COUNTIFS(D:D,"&gt;=15%",D:D,"&lt;16%")</f>
        <v>0</v>
      </c>
    </row>
    <row r="18" spans="1:10">
      <c r="A18">
        <v>2296.29125976563</v>
      </c>
      <c r="B18">
        <v>2303.95</v>
      </c>
      <c r="C18">
        <v>7.65874023437482</v>
      </c>
      <c r="D18" s="3">
        <f t="shared" si="2"/>
        <v>0.00332417814378559</v>
      </c>
      <c r="E18">
        <f t="shared" si="1"/>
        <v>-7.65874023436982</v>
      </c>
      <c r="I18" s="1" t="s">
        <v>27</v>
      </c>
      <c r="J18">
        <f>COUNTIFS(D:D,"&gt;=16%",D:D,"&lt;17%")</f>
        <v>0</v>
      </c>
    </row>
    <row r="19" spans="1:10">
      <c r="A19">
        <v>2312.794921875</v>
      </c>
      <c r="B19">
        <v>2291.74</v>
      </c>
      <c r="C19">
        <v>21.0549218750002</v>
      </c>
      <c r="D19" s="3">
        <f t="shared" si="2"/>
        <v>0.00918730827886244</v>
      </c>
      <c r="E19">
        <f t="shared" si="1"/>
        <v>21.0549218750002</v>
      </c>
      <c r="I19" s="1" t="s">
        <v>28</v>
      </c>
      <c r="J19">
        <f>COUNTIFS(D:D,"&gt;=17%",D:D,"&lt;18%")</f>
        <v>1</v>
      </c>
    </row>
    <row r="20" spans="1:10">
      <c r="A20">
        <v>2283.78930664063</v>
      </c>
      <c r="B20">
        <v>2530.46</v>
      </c>
      <c r="C20">
        <v>246.670693359375</v>
      </c>
      <c r="D20" s="3">
        <f t="shared" si="2"/>
        <v>0.0974805740297713</v>
      </c>
      <c r="E20">
        <f t="shared" si="1"/>
        <v>-246.67069335937</v>
      </c>
      <c r="I20" s="1" t="s">
        <v>29</v>
      </c>
      <c r="J20">
        <f>COUNTIFS(D:D,"&gt;=18%",D:D,"&lt;19%")</f>
        <v>0</v>
      </c>
    </row>
    <row r="21" spans="1:10">
      <c r="A21">
        <v>2289.2958984375</v>
      </c>
      <c r="B21">
        <v>2530.72</v>
      </c>
      <c r="C21">
        <v>241.4241015625</v>
      </c>
      <c r="D21" s="3">
        <f t="shared" si="2"/>
        <v>0.095397397405679</v>
      </c>
      <c r="E21">
        <f t="shared" si="1"/>
        <v>-241.4241015625</v>
      </c>
      <c r="I21" s="1" t="s">
        <v>30</v>
      </c>
      <c r="J21">
        <f>COUNTIFS(D:D,"&gt;=19%",D:D,"&lt;20%")</f>
        <v>0</v>
      </c>
    </row>
    <row r="22" spans="1:10">
      <c r="A22">
        <v>2290.29736328125</v>
      </c>
      <c r="B22">
        <v>2524.64</v>
      </c>
      <c r="C22">
        <v>234.34263671875</v>
      </c>
      <c r="D22" s="3">
        <f t="shared" si="2"/>
        <v>0.0928221990932371</v>
      </c>
      <c r="E22">
        <f t="shared" si="1"/>
        <v>-234.34263671875</v>
      </c>
    </row>
    <row r="23" spans="1:10">
      <c r="A23">
        <v>2282.30346679688</v>
      </c>
      <c r="B23">
        <v>2531.4</v>
      </c>
      <c r="C23">
        <v>249.096533203125</v>
      </c>
      <c r="D23" s="3">
        <f t="shared" si="2"/>
        <v>0.0984026756747748</v>
      </c>
      <c r="E23">
        <f t="shared" si="1"/>
        <v>-249.09653320312</v>
      </c>
    </row>
    <row r="24" spans="1:10">
      <c r="A24">
        <v>2294.80883789063</v>
      </c>
      <c r="B24">
        <v>2284.92</v>
      </c>
      <c r="C24">
        <v>9.88883789062493</v>
      </c>
      <c r="D24" s="3">
        <f t="shared" si="2"/>
        <v>0.00432787051215138</v>
      </c>
      <c r="E24">
        <f t="shared" si="1"/>
        <v>9.88883789062993</v>
      </c>
    </row>
    <row r="25" spans="1:10">
      <c r="A25">
        <v>2282.45922851563</v>
      </c>
      <c r="B25">
        <v>2556.08</v>
      </c>
      <c r="C25">
        <v>273.620771484375</v>
      </c>
      <c r="D25" s="3">
        <f t="shared" si="2"/>
        <v>0.107047029625198</v>
      </c>
      <c r="E25">
        <f t="shared" si="1"/>
        <v>-273.62077148437</v>
      </c>
    </row>
    <row r="26" spans="1:10">
      <c r="A26">
        <v>2243.4599609375</v>
      </c>
      <c r="B26">
        <v>2577.02</v>
      </c>
      <c r="C26">
        <v>333.5600390625</v>
      </c>
      <c r="D26" s="3">
        <f t="shared" si="2"/>
        <v>0.129436340836509</v>
      </c>
      <c r="E26">
        <f t="shared" si="1"/>
        <v>-333.5600390625</v>
      </c>
    </row>
    <row r="27" spans="1:10">
      <c r="A27">
        <v>2330.46557617188</v>
      </c>
      <c r="B27">
        <v>2276.75</v>
      </c>
      <c r="C27">
        <v>53.715576171875</v>
      </c>
      <c r="D27" s="3">
        <f t="shared" si="2"/>
        <v>0.0235930937397057</v>
      </c>
      <c r="E27">
        <f t="shared" si="1"/>
        <v>53.71557617188</v>
      </c>
    </row>
    <row r="28" spans="1:10">
      <c r="A28">
        <v>2274.46997070313</v>
      </c>
      <c r="B28">
        <v>2526.78</v>
      </c>
      <c r="C28">
        <v>252.310029296875</v>
      </c>
      <c r="D28" s="3">
        <f t="shared" si="2"/>
        <v>0.0998543716892151</v>
      </c>
      <c r="E28">
        <f t="shared" si="1"/>
        <v>-252.31002929687</v>
      </c>
    </row>
    <row r="29" spans="1:10">
      <c r="A29">
        <v>2277.47485351563</v>
      </c>
      <c r="B29">
        <v>2282.22</v>
      </c>
      <c r="C29">
        <v>4.7451464843748</v>
      </c>
      <c r="D29" s="3">
        <f t="shared" si="2"/>
        <v>0.00207918013354313</v>
      </c>
      <c r="E29">
        <f t="shared" si="1"/>
        <v>-4.7451464843698</v>
      </c>
    </row>
    <row r="30" spans="1:10">
      <c r="A30">
        <v>2289.97436523438</v>
      </c>
      <c r="B30">
        <v>2524.64</v>
      </c>
      <c r="C30">
        <v>234.665634765625</v>
      </c>
      <c r="D30" s="3">
        <f t="shared" si="2"/>
        <v>0.0929501373525037</v>
      </c>
      <c r="E30">
        <f t="shared" si="1"/>
        <v>-234.66563476562</v>
      </c>
    </row>
    <row r="31" spans="1:10">
      <c r="A31">
        <v>2284.97338867188</v>
      </c>
      <c r="B31">
        <v>2524.64</v>
      </c>
      <c r="C31">
        <v>239.666611328125</v>
      </c>
      <c r="D31" s="3">
        <f t="shared" si="2"/>
        <v>0.0949310045504012</v>
      </c>
      <c r="E31">
        <f t="shared" si="1"/>
        <v>-239.66661132812</v>
      </c>
    </row>
    <row r="32" spans="1:10">
      <c r="A32">
        <v>2293.49047851563</v>
      </c>
      <c r="B32">
        <v>2282.22</v>
      </c>
      <c r="C32">
        <v>11.2704785156252</v>
      </c>
      <c r="D32" s="3">
        <f t="shared" si="2"/>
        <v>0.00493838390498076</v>
      </c>
      <c r="E32">
        <f t="shared" si="1"/>
        <v>11.2704785156302</v>
      </c>
    </row>
    <row r="33" spans="1:5">
      <c r="A33">
        <v>2286.99560546875</v>
      </c>
      <c r="B33">
        <v>2524.64</v>
      </c>
      <c r="C33">
        <v>237.64439453125</v>
      </c>
      <c r="D33" s="3">
        <f t="shared" si="2"/>
        <v>0.0941300124101852</v>
      </c>
      <c r="E33">
        <f t="shared" si="1"/>
        <v>-237.64439453125</v>
      </c>
    </row>
    <row r="34" spans="1:5">
      <c r="A34">
        <v>2284.99389648438</v>
      </c>
      <c r="B34">
        <v>2524.64</v>
      </c>
      <c r="C34">
        <v>239.646103515625</v>
      </c>
      <c r="D34" s="3">
        <f t="shared" si="2"/>
        <v>0.0949228814863208</v>
      </c>
      <c r="E34">
        <f t="shared" si="1"/>
        <v>-239.64610351562</v>
      </c>
    </row>
    <row r="35" spans="1:5">
      <c r="A35">
        <v>2297.37890625</v>
      </c>
      <c r="B35">
        <v>2282.22</v>
      </c>
      <c r="C35">
        <v>15.1589062500002</v>
      </c>
      <c r="D35" s="3">
        <f t="shared" si="2"/>
        <v>0.0066421757104925</v>
      </c>
      <c r="E35">
        <f t="shared" ref="E35:E66" si="3">A35-B35</f>
        <v>15.1589062500002</v>
      </c>
    </row>
    <row r="36" spans="1:5">
      <c r="A36">
        <v>2296.38647460938</v>
      </c>
      <c r="B36">
        <v>2282.22</v>
      </c>
      <c r="C36">
        <v>14.1664746093752</v>
      </c>
      <c r="D36" s="3">
        <f t="shared" si="2"/>
        <v>0.00620732208523946</v>
      </c>
      <c r="E36">
        <f t="shared" si="3"/>
        <v>14.1664746093802</v>
      </c>
    </row>
    <row r="37" spans="1:5">
      <c r="A37">
        <v>2286.38696289063</v>
      </c>
      <c r="B37">
        <v>2577.51</v>
      </c>
      <c r="C37">
        <v>291.123037109375</v>
      </c>
      <c r="D37" s="3">
        <f t="shared" si="2"/>
        <v>0.11294739384498</v>
      </c>
      <c r="E37">
        <f t="shared" si="3"/>
        <v>-291.12303710937</v>
      </c>
    </row>
    <row r="38" spans="1:5">
      <c r="A38">
        <v>2296.890625</v>
      </c>
      <c r="B38">
        <v>2282.22</v>
      </c>
      <c r="C38">
        <v>14.6706250000002</v>
      </c>
      <c r="D38" s="3">
        <f t="shared" si="2"/>
        <v>0.00642822558736678</v>
      </c>
      <c r="E38">
        <f t="shared" si="3"/>
        <v>14.6706250000002</v>
      </c>
    </row>
    <row r="39" spans="1:5">
      <c r="A39">
        <v>2263.39086914063</v>
      </c>
      <c r="B39">
        <v>2247.15</v>
      </c>
      <c r="C39">
        <v>16.2408691406249</v>
      </c>
      <c r="D39" s="3">
        <f t="shared" si="2"/>
        <v>0.00722731866614374</v>
      </c>
      <c r="E39">
        <f t="shared" si="3"/>
        <v>16.2408691406299</v>
      </c>
    </row>
    <row r="40" spans="1:5">
      <c r="A40">
        <v>2294.4052734375</v>
      </c>
      <c r="B40">
        <v>2282.22</v>
      </c>
      <c r="C40">
        <v>12.1852734375002</v>
      </c>
      <c r="D40" s="3">
        <f t="shared" si="2"/>
        <v>0.00533921946065682</v>
      </c>
      <c r="E40">
        <f t="shared" si="3"/>
        <v>12.1852734375002</v>
      </c>
    </row>
    <row r="41" spans="1:5">
      <c r="A41">
        <v>2286.90942382813</v>
      </c>
      <c r="B41">
        <v>2528.47</v>
      </c>
      <c r="C41">
        <v>241.560576171875</v>
      </c>
      <c r="D41" s="3">
        <f t="shared" si="2"/>
        <v>0.0955362635000119</v>
      </c>
      <c r="E41">
        <f t="shared" si="3"/>
        <v>-241.56057617187</v>
      </c>
    </row>
    <row r="42" spans="1:5">
      <c r="A42">
        <v>2305.90893554688</v>
      </c>
      <c r="B42">
        <v>2525.52</v>
      </c>
      <c r="C42">
        <v>219.611064453125</v>
      </c>
      <c r="D42" s="3">
        <f t="shared" si="2"/>
        <v>0.0869567710622466</v>
      </c>
      <c r="E42">
        <f t="shared" si="3"/>
        <v>-219.61106445312</v>
      </c>
    </row>
    <row r="43" spans="1:5">
      <c r="A43">
        <v>2294.9111328125</v>
      </c>
      <c r="B43">
        <v>2282.22</v>
      </c>
      <c r="C43">
        <v>12.6911328125002</v>
      </c>
      <c r="D43" s="3">
        <f t="shared" si="2"/>
        <v>0.00556087178821507</v>
      </c>
      <c r="E43">
        <f t="shared" si="3"/>
        <v>12.6911328125002</v>
      </c>
    </row>
    <row r="44" spans="1:5">
      <c r="A44">
        <v>2283.92016601563</v>
      </c>
      <c r="B44">
        <v>2524.64</v>
      </c>
      <c r="C44">
        <v>240.719833984375</v>
      </c>
      <c r="D44" s="3">
        <f t="shared" si="2"/>
        <v>0.0953481819128173</v>
      </c>
      <c r="E44">
        <f t="shared" si="3"/>
        <v>-240.71983398437</v>
      </c>
    </row>
    <row r="45" spans="1:5">
      <c r="A45">
        <v>2294.42163085938</v>
      </c>
      <c r="B45">
        <v>2286.19</v>
      </c>
      <c r="C45">
        <v>8.23163085937495</v>
      </c>
      <c r="D45" s="3">
        <f t="shared" si="2"/>
        <v>0.0036005891283642</v>
      </c>
      <c r="E45">
        <f t="shared" si="3"/>
        <v>8.23163085937995</v>
      </c>
    </row>
    <row r="46" spans="1:5">
      <c r="A46">
        <v>2295.41821289063</v>
      </c>
      <c r="B46">
        <v>2296.26</v>
      </c>
      <c r="C46">
        <v>0.841787109375218</v>
      </c>
      <c r="D46" s="3">
        <f t="shared" si="2"/>
        <v>0.00036659050341652</v>
      </c>
      <c r="E46">
        <f t="shared" si="3"/>
        <v>-0.841787109370216</v>
      </c>
    </row>
    <row r="47" spans="1:5">
      <c r="A47">
        <v>2295.9267578125</v>
      </c>
      <c r="B47">
        <v>2314.43</v>
      </c>
      <c r="C47">
        <v>18.5032421874998</v>
      </c>
      <c r="D47" s="3">
        <f t="shared" ref="D47:D78" si="4">C47/B47</f>
        <v>0.00799472966886007</v>
      </c>
      <c r="E47">
        <f t="shared" si="3"/>
        <v>-18.5032421874998</v>
      </c>
    </row>
    <row r="48" spans="1:5">
      <c r="A48">
        <v>2291.93286132813</v>
      </c>
      <c r="B48">
        <v>2586.14</v>
      </c>
      <c r="C48">
        <v>294.207138671875</v>
      </c>
      <c r="D48" s="3">
        <f t="shared" si="4"/>
        <v>0.11376303629033</v>
      </c>
      <c r="E48">
        <f t="shared" si="3"/>
        <v>-294.20713867187</v>
      </c>
    </row>
    <row r="49" spans="1:5">
      <c r="A49">
        <v>2204.57299804688</v>
      </c>
      <c r="B49">
        <v>2119.99</v>
      </c>
      <c r="C49">
        <v>84.5829980468752</v>
      </c>
      <c r="D49" s="3">
        <f t="shared" si="4"/>
        <v>0.0398978287854543</v>
      </c>
      <c r="E49">
        <f t="shared" si="3"/>
        <v>84.5829980468802</v>
      </c>
    </row>
    <row r="50" spans="1:5">
      <c r="A50">
        <v>2295.07055664063</v>
      </c>
      <c r="B50">
        <v>2284.89</v>
      </c>
      <c r="C50">
        <v>10.1805566406251</v>
      </c>
      <c r="D50" s="3">
        <f t="shared" si="4"/>
        <v>0.0044556003311429</v>
      </c>
      <c r="E50">
        <f t="shared" si="3"/>
        <v>10.1805566406301</v>
      </c>
    </row>
    <row r="51" spans="1:5">
      <c r="A51">
        <v>2285.07104492188</v>
      </c>
      <c r="B51">
        <v>2524.64</v>
      </c>
      <c r="C51">
        <v>239.568955078125</v>
      </c>
      <c r="D51" s="3">
        <f t="shared" si="4"/>
        <v>0.0948923232928754</v>
      </c>
      <c r="E51">
        <f t="shared" si="3"/>
        <v>-239.56895507812</v>
      </c>
    </row>
    <row r="52" spans="1:5">
      <c r="A52">
        <v>2295.07836914063</v>
      </c>
      <c r="B52">
        <v>2284.43</v>
      </c>
      <c r="C52">
        <v>10.6483691406252</v>
      </c>
      <c r="D52" s="3">
        <f t="shared" si="4"/>
        <v>0.00466128055603595</v>
      </c>
      <c r="E52">
        <f t="shared" si="3"/>
        <v>10.6483691406302</v>
      </c>
    </row>
    <row r="53" spans="1:5">
      <c r="A53">
        <v>2294.57934570313</v>
      </c>
      <c r="B53">
        <v>2293.22</v>
      </c>
      <c r="C53">
        <v>1.3593457031252</v>
      </c>
      <c r="D53" s="3">
        <f t="shared" si="4"/>
        <v>0.000592767245674292</v>
      </c>
      <c r="E53">
        <f t="shared" si="3"/>
        <v>1.3593457031302</v>
      </c>
    </row>
    <row r="54" spans="1:5">
      <c r="A54">
        <v>2284.58959960938</v>
      </c>
      <c r="B54">
        <v>2282.22</v>
      </c>
      <c r="C54">
        <v>2.3695996093752</v>
      </c>
      <c r="D54" s="3">
        <f t="shared" si="4"/>
        <v>0.00103828711052186</v>
      </c>
      <c r="E54">
        <f t="shared" si="3"/>
        <v>2.3695996093802</v>
      </c>
    </row>
    <row r="55" spans="1:5">
      <c r="A55">
        <v>2285.08837890625</v>
      </c>
      <c r="B55">
        <v>2524.64</v>
      </c>
      <c r="C55">
        <v>239.55162109375</v>
      </c>
      <c r="D55" s="3">
        <f t="shared" si="4"/>
        <v>0.0948854573696646</v>
      </c>
      <c r="E55">
        <f t="shared" si="3"/>
        <v>-239.55162109375</v>
      </c>
    </row>
    <row r="56" spans="1:5">
      <c r="A56">
        <v>2295.58666992188</v>
      </c>
      <c r="B56">
        <v>2284.43</v>
      </c>
      <c r="C56">
        <v>11.1566699218752</v>
      </c>
      <c r="D56" s="3">
        <f t="shared" si="4"/>
        <v>0.00488378716873583</v>
      </c>
      <c r="E56">
        <f t="shared" si="3"/>
        <v>11.1566699218802</v>
      </c>
    </row>
    <row r="57" spans="1:5">
      <c r="A57">
        <v>2294.58715820313</v>
      </c>
      <c r="B57">
        <v>2288.63</v>
      </c>
      <c r="C57">
        <v>5.95715820312489</v>
      </c>
      <c r="D57" s="3">
        <f t="shared" si="4"/>
        <v>0.00260293634319435</v>
      </c>
      <c r="E57">
        <f t="shared" si="3"/>
        <v>5.95715820312989</v>
      </c>
    </row>
    <row r="58" spans="1:5">
      <c r="A58">
        <v>2285.09057617188</v>
      </c>
      <c r="B58">
        <v>2526.78</v>
      </c>
      <c r="C58">
        <v>241.689423828125</v>
      </c>
      <c r="D58" s="3">
        <f t="shared" si="4"/>
        <v>0.0956511543656848</v>
      </c>
      <c r="E58">
        <f t="shared" si="3"/>
        <v>-241.68942382812</v>
      </c>
    </row>
    <row r="59" spans="1:5">
      <c r="A59">
        <v>2285.0947265625</v>
      </c>
      <c r="B59">
        <v>2524.64</v>
      </c>
      <c r="C59">
        <v>239.5452734375</v>
      </c>
      <c r="D59" s="3">
        <f t="shared" si="4"/>
        <v>0.0948829430879254</v>
      </c>
      <c r="E59">
        <f t="shared" si="3"/>
        <v>-239.5452734375</v>
      </c>
    </row>
    <row r="60" spans="1:5">
      <c r="A60">
        <v>2308.10498046875</v>
      </c>
      <c r="B60">
        <v>2304.19</v>
      </c>
      <c r="C60">
        <v>3.91498046874995</v>
      </c>
      <c r="D60" s="3">
        <f t="shared" si="4"/>
        <v>0.00169907015860235</v>
      </c>
      <c r="E60">
        <f t="shared" si="3"/>
        <v>3.91498046874995</v>
      </c>
    </row>
    <row r="61" spans="1:5">
      <c r="A61">
        <v>2294.60961914063</v>
      </c>
      <c r="B61">
        <v>2282.22</v>
      </c>
      <c r="C61">
        <v>12.3896191406252</v>
      </c>
      <c r="D61" s="3">
        <f t="shared" si="4"/>
        <v>0.00542875758718493</v>
      </c>
      <c r="E61">
        <f t="shared" si="3"/>
        <v>12.3896191406302</v>
      </c>
    </row>
    <row r="62" spans="1:5">
      <c r="A62">
        <v>2299.1103515625</v>
      </c>
      <c r="B62">
        <v>2285.05</v>
      </c>
      <c r="C62">
        <v>14.0603515624998</v>
      </c>
      <c r="D62" s="3">
        <f t="shared" si="4"/>
        <v>0.00615319208004192</v>
      </c>
      <c r="E62">
        <f t="shared" si="3"/>
        <v>14.0603515624998</v>
      </c>
    </row>
    <row r="63" spans="1:5">
      <c r="A63">
        <v>2244.12109375</v>
      </c>
      <c r="B63">
        <v>2282.22</v>
      </c>
      <c r="C63">
        <v>38.0989062499998</v>
      </c>
      <c r="D63" s="3">
        <f t="shared" si="4"/>
        <v>0.016693792119077</v>
      </c>
      <c r="E63">
        <f t="shared" si="3"/>
        <v>-38.0989062499998</v>
      </c>
    </row>
    <row r="64" spans="1:5">
      <c r="A64">
        <v>2245.00024414063</v>
      </c>
      <c r="B64">
        <v>2247.15</v>
      </c>
      <c r="C64">
        <v>2.14975585937509</v>
      </c>
      <c r="D64" s="3">
        <f t="shared" si="4"/>
        <v>0.000956658816445315</v>
      </c>
      <c r="E64">
        <f t="shared" si="3"/>
        <v>-2.14975585937009</v>
      </c>
    </row>
    <row r="65" spans="1:5">
      <c r="A65">
        <v>2303.51123046875</v>
      </c>
      <c r="B65">
        <v>2284.7</v>
      </c>
      <c r="C65">
        <v>18.8112304687502</v>
      </c>
      <c r="D65" s="3">
        <f t="shared" si="4"/>
        <v>0.00823356697542356</v>
      </c>
      <c r="E65">
        <f t="shared" si="3"/>
        <v>18.8112304687502</v>
      </c>
    </row>
    <row r="66" spans="1:5">
      <c r="A66">
        <v>2285.00952148438</v>
      </c>
      <c r="B66">
        <v>2524.64</v>
      </c>
      <c r="C66">
        <v>239.630478515625</v>
      </c>
      <c r="D66" s="3">
        <f t="shared" si="4"/>
        <v>0.0949166924851167</v>
      </c>
      <c r="E66">
        <f t="shared" si="3"/>
        <v>-239.63047851562</v>
      </c>
    </row>
    <row r="67" spans="1:5">
      <c r="A67">
        <v>2249.01391601563</v>
      </c>
      <c r="B67">
        <v>2276.75</v>
      </c>
      <c r="C67">
        <v>27.736083984375</v>
      </c>
      <c r="D67" s="3">
        <f t="shared" si="4"/>
        <v>0.0121823142568903</v>
      </c>
      <c r="E67">
        <f t="shared" ref="E67:E98" si="5">A67-B67</f>
        <v>-27.73608398437</v>
      </c>
    </row>
    <row r="68" spans="1:5">
      <c r="A68">
        <v>2284.01220703125</v>
      </c>
      <c r="B68">
        <v>2525.73</v>
      </c>
      <c r="C68">
        <v>241.71779296875</v>
      </c>
      <c r="D68" s="3">
        <f t="shared" si="4"/>
        <v>0.0957021506529795</v>
      </c>
      <c r="E68">
        <f t="shared" si="5"/>
        <v>-241.71779296875</v>
      </c>
    </row>
    <row r="69" spans="1:5">
      <c r="A69">
        <v>2264.02514648438</v>
      </c>
      <c r="B69">
        <v>2282.22</v>
      </c>
      <c r="C69">
        <v>18.1948535156248</v>
      </c>
      <c r="D69" s="3">
        <f t="shared" si="4"/>
        <v>0.00797243627504132</v>
      </c>
      <c r="E69">
        <f t="shared" si="5"/>
        <v>-18.1948535156198</v>
      </c>
    </row>
    <row r="70" spans="1:5">
      <c r="A70">
        <v>2241.02856445313</v>
      </c>
      <c r="B70">
        <v>2311.34</v>
      </c>
      <c r="C70">
        <v>70.3114355468751</v>
      </c>
      <c r="D70" s="3">
        <f t="shared" si="4"/>
        <v>0.0304202045336796</v>
      </c>
      <c r="E70">
        <f t="shared" si="5"/>
        <v>-70.3114355468701</v>
      </c>
    </row>
    <row r="71" spans="1:5">
      <c r="A71">
        <v>2296.03881835938</v>
      </c>
      <c r="B71">
        <v>2303.95</v>
      </c>
      <c r="C71">
        <v>7.91118164062482</v>
      </c>
      <c r="D71" s="3">
        <f t="shared" si="4"/>
        <v>0.003433747104158</v>
      </c>
      <c r="E71">
        <f t="shared" si="5"/>
        <v>-7.91118164061982</v>
      </c>
    </row>
    <row r="72" spans="1:5">
      <c r="A72">
        <v>2295.53930664063</v>
      </c>
      <c r="B72">
        <v>2293.3</v>
      </c>
      <c r="C72">
        <v>2.23930664062482</v>
      </c>
      <c r="D72" s="3">
        <f t="shared" si="4"/>
        <v>0.000976456041784686</v>
      </c>
      <c r="E72">
        <f t="shared" si="5"/>
        <v>2.23930664062982</v>
      </c>
    </row>
    <row r="73" spans="1:5">
      <c r="A73">
        <v>2226.04907226563</v>
      </c>
      <c r="B73">
        <v>2282.22</v>
      </c>
      <c r="C73">
        <v>56.1709277343748</v>
      </c>
      <c r="D73" s="3">
        <f t="shared" si="4"/>
        <v>0.0246124071011449</v>
      </c>
      <c r="E73">
        <f t="shared" si="5"/>
        <v>-56.1709277343698</v>
      </c>
    </row>
    <row r="74" spans="1:5">
      <c r="A74">
        <v>2292.04931640625</v>
      </c>
      <c r="B74">
        <v>2285.14</v>
      </c>
      <c r="C74">
        <v>6.90931640625013</v>
      </c>
      <c r="D74" s="3">
        <f t="shared" si="4"/>
        <v>0.00302358560361734</v>
      </c>
      <c r="E74">
        <f t="shared" si="5"/>
        <v>6.90931640625013</v>
      </c>
    </row>
    <row r="75" spans="1:5">
      <c r="A75">
        <v>2296.0546875</v>
      </c>
      <c r="B75">
        <v>2282.22</v>
      </c>
      <c r="C75">
        <v>13.8346875000002</v>
      </c>
      <c r="D75" s="3">
        <f t="shared" si="4"/>
        <v>0.00606194297657553</v>
      </c>
      <c r="E75">
        <f t="shared" si="5"/>
        <v>13.8346875000002</v>
      </c>
    </row>
    <row r="76" spans="1:5">
      <c r="A76">
        <v>2262.69848632813</v>
      </c>
      <c r="B76">
        <v>2282.22</v>
      </c>
      <c r="C76">
        <v>19.5215136718748</v>
      </c>
      <c r="D76" s="3">
        <f t="shared" si="4"/>
        <v>0.00855373875957392</v>
      </c>
      <c r="E76">
        <f t="shared" si="5"/>
        <v>-19.5215136718698</v>
      </c>
    </row>
    <row r="77" spans="1:5">
      <c r="A77">
        <v>2293.19604492188</v>
      </c>
      <c r="B77">
        <v>2435.15</v>
      </c>
      <c r="C77">
        <v>141.953955078125</v>
      </c>
      <c r="D77" s="3">
        <f t="shared" si="4"/>
        <v>0.0582937211580909</v>
      </c>
      <c r="E77">
        <f t="shared" si="5"/>
        <v>-141.95395507812</v>
      </c>
    </row>
    <row r="78" spans="1:5">
      <c r="A78">
        <v>2216.20336914063</v>
      </c>
      <c r="B78">
        <v>2175.97</v>
      </c>
      <c r="C78">
        <v>40.2333691406252</v>
      </c>
      <c r="D78" s="3">
        <f t="shared" si="4"/>
        <v>0.0184898547041665</v>
      </c>
      <c r="E78">
        <f t="shared" si="5"/>
        <v>40.2333691406302</v>
      </c>
    </row>
    <row r="79" spans="1:5">
      <c r="A79">
        <v>2294.71801757813</v>
      </c>
      <c r="B79">
        <v>2283.47</v>
      </c>
      <c r="C79">
        <v>11.2480175781252</v>
      </c>
      <c r="D79" s="3">
        <f t="shared" ref="D79:D98" si="6">C79/B79</f>
        <v>0.00492584425375643</v>
      </c>
      <c r="E79">
        <f t="shared" si="5"/>
        <v>11.2480175781302</v>
      </c>
    </row>
    <row r="80" spans="1:5">
      <c r="A80">
        <v>2284.72778320313</v>
      </c>
      <c r="B80">
        <v>2524.64</v>
      </c>
      <c r="C80">
        <v>239.912216796875</v>
      </c>
      <c r="D80" s="3">
        <f t="shared" si="6"/>
        <v>0.0950282879130787</v>
      </c>
      <c r="E80">
        <f t="shared" si="5"/>
        <v>-239.91221679687</v>
      </c>
    </row>
    <row r="81" spans="1:5">
      <c r="A81">
        <v>2296.22729492188</v>
      </c>
      <c r="B81">
        <v>2282.22</v>
      </c>
      <c r="C81">
        <v>14.0072949218752</v>
      </c>
      <c r="D81" s="3">
        <f t="shared" si="6"/>
        <v>0.00613757434510047</v>
      </c>
      <c r="E81">
        <f t="shared" si="5"/>
        <v>14.0072949218802</v>
      </c>
    </row>
    <row r="82" spans="1:5">
      <c r="A82">
        <v>2284.23950195313</v>
      </c>
      <c r="B82">
        <v>2284.89</v>
      </c>
      <c r="C82">
        <v>0.650498046874873</v>
      </c>
      <c r="D82" s="3">
        <f t="shared" si="6"/>
        <v>0.000284695563845469</v>
      </c>
      <c r="E82">
        <f t="shared" si="5"/>
        <v>-0.65049804686987</v>
      </c>
    </row>
    <row r="83" spans="1:5">
      <c r="A83">
        <v>2292.12622070313</v>
      </c>
      <c r="B83">
        <v>2291.32</v>
      </c>
      <c r="C83">
        <v>0.806220703124836</v>
      </c>
      <c r="D83" s="3">
        <f t="shared" si="6"/>
        <v>0.00035185862434092</v>
      </c>
      <c r="E83">
        <f t="shared" si="5"/>
        <v>0.806220703129839</v>
      </c>
    </row>
    <row r="84" spans="1:5">
      <c r="A84">
        <v>2285.13354492188</v>
      </c>
      <c r="B84">
        <v>2524.64</v>
      </c>
      <c r="C84">
        <v>239.506455078125</v>
      </c>
      <c r="D84" s="3">
        <f t="shared" si="6"/>
        <v>0.0948675672880589</v>
      </c>
      <c r="E84">
        <f t="shared" si="5"/>
        <v>-239.50645507812</v>
      </c>
    </row>
    <row r="85" spans="1:5">
      <c r="A85">
        <v>2285.14038085938</v>
      </c>
      <c r="B85">
        <v>2282.22</v>
      </c>
      <c r="C85">
        <v>2.9203808593752</v>
      </c>
      <c r="D85" s="3">
        <f t="shared" si="6"/>
        <v>0.00127962284940768</v>
      </c>
      <c r="E85">
        <f t="shared" si="5"/>
        <v>2.9203808593802</v>
      </c>
    </row>
    <row r="86" spans="1:5">
      <c r="A86">
        <v>2296.63916015625</v>
      </c>
      <c r="B86">
        <v>2282.22</v>
      </c>
      <c r="C86">
        <v>14.4191601562502</v>
      </c>
      <c r="D86" s="3">
        <f t="shared" si="6"/>
        <v>0.00631804127395702</v>
      </c>
      <c r="E86">
        <f t="shared" si="5"/>
        <v>14.4191601562502</v>
      </c>
    </row>
    <row r="87" spans="1:5">
      <c r="A87">
        <v>2253.63891601563</v>
      </c>
      <c r="B87">
        <v>2619.06</v>
      </c>
      <c r="C87">
        <v>365.421083984375</v>
      </c>
      <c r="D87" s="3">
        <f t="shared" si="6"/>
        <v>0.139523754318105</v>
      </c>
      <c r="E87">
        <f t="shared" si="5"/>
        <v>-365.42108398437</v>
      </c>
    </row>
    <row r="88" spans="1:5">
      <c r="A88">
        <v>2296.63793945313</v>
      </c>
      <c r="B88">
        <v>2282.22</v>
      </c>
      <c r="C88">
        <v>14.4179394531252</v>
      </c>
      <c r="D88" s="3">
        <f t="shared" si="6"/>
        <v>0.00631750639864921</v>
      </c>
      <c r="E88">
        <f t="shared" si="5"/>
        <v>14.4179394531302</v>
      </c>
    </row>
    <row r="89" spans="1:5">
      <c r="A89">
        <v>2292.63793945313</v>
      </c>
      <c r="B89">
        <v>2279.19</v>
      </c>
      <c r="C89">
        <v>13.4479394531249</v>
      </c>
      <c r="D89" s="3">
        <f t="shared" si="6"/>
        <v>0.00590031522300681</v>
      </c>
      <c r="E89">
        <f t="shared" si="5"/>
        <v>13.4479394531299</v>
      </c>
    </row>
    <row r="90" spans="1:5">
      <c r="A90">
        <v>2304.1474609375</v>
      </c>
      <c r="B90">
        <v>2279.19</v>
      </c>
      <c r="C90">
        <v>24.9574609374999</v>
      </c>
      <c r="D90" s="3">
        <f t="shared" si="6"/>
        <v>0.0109501449802342</v>
      </c>
      <c r="E90">
        <f t="shared" si="5"/>
        <v>24.9574609374999</v>
      </c>
    </row>
    <row r="91" spans="1:5">
      <c r="A91">
        <v>2296.14721679688</v>
      </c>
      <c r="B91">
        <v>2328.85</v>
      </c>
      <c r="C91">
        <v>32.7027832031249</v>
      </c>
      <c r="D91" s="3">
        <f t="shared" si="6"/>
        <v>0.0140424600996736</v>
      </c>
      <c r="E91">
        <f t="shared" si="5"/>
        <v>-32.7027832031199</v>
      </c>
    </row>
    <row r="92" spans="1:5">
      <c r="A92">
        <v>2263.65478515625</v>
      </c>
      <c r="B92">
        <v>2311.34</v>
      </c>
      <c r="C92">
        <v>47.6852148437501</v>
      </c>
      <c r="D92" s="3">
        <f t="shared" si="6"/>
        <v>0.0206309823927895</v>
      </c>
      <c r="E92">
        <f t="shared" si="5"/>
        <v>-47.6852148437501</v>
      </c>
    </row>
    <row r="93" spans="1:5">
      <c r="A93">
        <v>2297.65307617188</v>
      </c>
      <c r="B93">
        <v>2530.08</v>
      </c>
      <c r="C93">
        <v>232.426923828125</v>
      </c>
      <c r="D93" s="3">
        <f t="shared" si="6"/>
        <v>0.09186544450299</v>
      </c>
      <c r="E93">
        <f t="shared" si="5"/>
        <v>-232.42692382812</v>
      </c>
    </row>
    <row r="94" spans="1:5">
      <c r="A94">
        <v>2294.65844726563</v>
      </c>
      <c r="B94">
        <v>2282.22</v>
      </c>
      <c r="C94">
        <v>12.4384472656252</v>
      </c>
      <c r="D94" s="3">
        <f t="shared" si="6"/>
        <v>0.00545015259949751</v>
      </c>
      <c r="E94">
        <f t="shared" si="5"/>
        <v>12.4384472656302</v>
      </c>
    </row>
    <row r="95" spans="1:5">
      <c r="A95">
        <v>2294.66064453125</v>
      </c>
      <c r="B95">
        <v>2284.89</v>
      </c>
      <c r="C95">
        <v>9.77064453125013</v>
      </c>
      <c r="D95" s="3">
        <f t="shared" si="6"/>
        <v>0.00427619908671758</v>
      </c>
      <c r="E95">
        <f t="shared" si="5"/>
        <v>9.77064453125013</v>
      </c>
    </row>
    <row r="96" spans="1:5">
      <c r="A96">
        <v>2294.6640625</v>
      </c>
      <c r="B96">
        <v>2282.22</v>
      </c>
      <c r="C96">
        <v>12.4440625000002</v>
      </c>
      <c r="D96" s="3">
        <f t="shared" si="6"/>
        <v>0.00545261302591345</v>
      </c>
      <c r="E96">
        <f t="shared" si="5"/>
        <v>12.4440625000002</v>
      </c>
    </row>
    <row r="97" spans="1:5">
      <c r="A97">
        <v>2288.67260742188</v>
      </c>
      <c r="B97">
        <v>2524.64</v>
      </c>
      <c r="C97">
        <v>235.967392578125</v>
      </c>
      <c r="D97" s="3">
        <f t="shared" si="6"/>
        <v>0.093465758515323</v>
      </c>
      <c r="E97">
        <f t="shared" si="5"/>
        <v>-235.96739257812</v>
      </c>
    </row>
    <row r="98" spans="1:5">
      <c r="A98">
        <v>2285.18334960938</v>
      </c>
      <c r="B98">
        <v>2558.5</v>
      </c>
      <c r="C98">
        <v>273.316650390625</v>
      </c>
      <c r="D98" s="3">
        <f t="shared" si="6"/>
        <v>0.106826910451681</v>
      </c>
      <c r="E98">
        <f t="shared" si="5"/>
        <v>-273.31665039062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预测结果对比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闫海洋</cp:lastModifiedBy>
  <dcterms:created xsi:type="dcterms:W3CDTF">2026-04-08T07:01:00Z</dcterms:created>
  <dcterms:modified xsi:type="dcterms:W3CDTF">2026-04-08T07:52:02Z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B5D1F23604E94FC5BE01DCE33F1FFDAD_12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