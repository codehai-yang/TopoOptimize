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72"/>
  </bookViews>
  <sheets>
    <sheet name="导线物料参数" sheetId="1" r:id="rId1"/>
    <sheet name="特殊情况1" sheetId="2" r:id="rId2"/>
    <sheet name="备注信息" sheetId="3" r:id="rId3"/>
    <sheet name="数学模型" sheetId="4" r:id="rId4"/>
  </sheets>
  <definedNames>
    <definedName name="_xlnm._FilterDatabase" localSheetId="0" hidden="1">导线物料参数!$A$1:$S$69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<sst xmlns="http://schemas.openxmlformats.org/spreadsheetml/2006/main" count="414" uniqueCount="182">
  <si>
    <t>导线选型</t>
  </si>
  <si>
    <t>导线物料单价
（元/米）</t>
  </si>
  <si>
    <t>导线商务单价
（元/米）
（含线缆集成管理费）</t>
  </si>
  <si>
    <t>导线单位重量
（单位g/m）</t>
  </si>
  <si>
    <t>导线两端的
端子商务价
（元/端）
（含线束集成管理费）
（高速线缆端子价格中包含塑壳）</t>
  </si>
  <si>
    <t>焊点成本
（元/个）
（含线束集成管理费）
（暂未启用）</t>
  </si>
  <si>
    <t>导线干区打断代价
（元/次）
（含线缆集成管理费）</t>
  </si>
  <si>
    <t>连接器塑壳
湿区价格补偿
（元/端）
（含线缆集成管理费）
（电缆湿区暂不补偿）</t>
  </si>
  <si>
    <t>防水塞
湿区价格补偿
（元/个）
（含线束集成管理费）
（电缆湿区暂不补偿）</t>
  </si>
  <si>
    <t>导线直径
（mm）</t>
  </si>
  <si>
    <t>导线两端的
连接器塑壳物料价
（元/端）
（高速线不计算塑壳成本，在端子列已计算）
（电缆端子用螺栓固定因此无塑壳）</t>
  </si>
  <si>
    <t>导线两端的
连接器塑壳商务成价
（元/端）
（含线缆集成管理费）
（电缆端子用螺栓固定因此无塑壳）</t>
  </si>
  <si>
    <t>用电器负载工作电流
&lt;的数值
（70℃时）
（安培）</t>
  </si>
  <si>
    <t>电流匹配的
供电回路
截面积
（平方毫米）</t>
  </si>
  <si>
    <t>电流匹配的
供电回路
单位重量
（克/米）</t>
  </si>
  <si>
    <t>电流匹配的
保险丝
类型</t>
  </si>
  <si>
    <t>电流匹配的
保险丝
表面积
（平方毫米）</t>
  </si>
  <si>
    <t>电流匹配的
继电器
类型</t>
  </si>
  <si>
    <t>电流匹配的
继电器
表面积
（平方毫米）</t>
  </si>
  <si>
    <t>FLRY-F 16</t>
  </si>
  <si>
    <t>FLRY-F 20</t>
  </si>
  <si>
    <t>FLRY-F 25</t>
  </si>
  <si>
    <t>FLRY-F 35</t>
  </si>
  <si>
    <t>FLR91X-F/T125 16</t>
  </si>
  <si>
    <t>FLR91X-F/T125 20</t>
  </si>
  <si>
    <t>FLR91X-F/T125 25</t>
  </si>
  <si>
    <t>FLR91X-F/T125 35</t>
  </si>
  <si>
    <t>FLALRY/T100 25</t>
  </si>
  <si>
    <t>FLALRY/T100 30</t>
  </si>
  <si>
    <t>FLALRY/T100 35</t>
  </si>
  <si>
    <t>FLALRY/T100 40</t>
  </si>
  <si>
    <t>FLALRY/T100 60</t>
  </si>
  <si>
    <t>FLALR91X/T125 25</t>
  </si>
  <si>
    <t>FLALR91X/T125 30</t>
  </si>
  <si>
    <t>FLALR91X/T125 35</t>
  </si>
  <si>
    <t>FLALR91X/T125 40</t>
  </si>
  <si>
    <t>FLALR91X/T125 60</t>
  </si>
  <si>
    <t>FLRY-B 10</t>
  </si>
  <si>
    <t>Mini</t>
  </si>
  <si>
    <t>Micro</t>
  </si>
  <si>
    <t>FLR2X-B 10</t>
  </si>
  <si>
    <t>U Micro</t>
  </si>
  <si>
    <t>FLRY-B 8.0</t>
  </si>
  <si>
    <t>FLR2X-B 8.0</t>
  </si>
  <si>
    <t>FLRY-B 6.0</t>
  </si>
  <si>
    <t>FLR2X-B 6.0</t>
  </si>
  <si>
    <t>FLRY-B 5.0</t>
  </si>
  <si>
    <t>FLR2X-B 5.0</t>
  </si>
  <si>
    <t>FLRY-B 4.0</t>
  </si>
  <si>
    <t>FLR2X-B 4.0</t>
  </si>
  <si>
    <t>FLRY-B 3.0</t>
  </si>
  <si>
    <t>FLR2X-B 3.0</t>
  </si>
  <si>
    <t>FLRY-B 2.5</t>
  </si>
  <si>
    <t>FLR2X-B 2.5</t>
  </si>
  <si>
    <t>FLR31Y-B 2.5</t>
  </si>
  <si>
    <t>FLR31Y-C 2.5</t>
  </si>
  <si>
    <t>FLRY-B 2.0</t>
  </si>
  <si>
    <t>FLR2X-B 2.0</t>
  </si>
  <si>
    <t>FLR6Y-C 2.0</t>
  </si>
  <si>
    <t>FLR31Y-C 2.0</t>
  </si>
  <si>
    <t>FLRY-B 1.5</t>
  </si>
  <si>
    <t>FLR2X-B 1.5</t>
  </si>
  <si>
    <t>FLRY-B 1.0</t>
  </si>
  <si>
    <t>FLR2X-B 1.0</t>
  </si>
  <si>
    <t>FLR31Y-C 1.0</t>
  </si>
  <si>
    <t>FLRY-B 0.75</t>
  </si>
  <si>
    <t>FLR2X-B 0.75</t>
  </si>
  <si>
    <t>FLR31Y-C 0.75</t>
  </si>
  <si>
    <t>FLR6Y-B 0.75</t>
  </si>
  <si>
    <t>FLRY-B 0.5</t>
  </si>
  <si>
    <t>FLR2X-B 0.5</t>
  </si>
  <si>
    <t>FLR31Y-C 0.5</t>
  </si>
  <si>
    <t>FLR31Y-B 0.5</t>
  </si>
  <si>
    <t>FLR91X-B 0.5</t>
  </si>
  <si>
    <t>FLRY-B 0.35</t>
  </si>
  <si>
    <t>FLR2X-B 0.35</t>
  </si>
  <si>
    <t>FLR31Y-C 0.35</t>
  </si>
  <si>
    <t>FLRY-A 0.22</t>
  </si>
  <si>
    <t>FLCuMg02RY-A 0.13</t>
  </si>
  <si>
    <t>FLCuSnO3RY-A 0.13</t>
  </si>
  <si>
    <t>Dacar 535</t>
  </si>
  <si>
    <t>RG174（耐折弯）</t>
  </si>
  <si>
    <t>Dacar 686-3</t>
  </si>
  <si>
    <t>Dacar 676</t>
  </si>
  <si>
    <t>Dacar 647-4</t>
  </si>
  <si>
    <t>Dacar 546</t>
  </si>
  <si>
    <t>Dacar 302-3</t>
  </si>
  <si>
    <t>Dacar 462</t>
  </si>
  <si>
    <t>USB Core 0.22</t>
  </si>
  <si>
    <r>
      <rPr>
        <b/>
        <sz val="11"/>
        <color theme="1"/>
        <rFont val="微软雅黑"/>
        <charset val="134"/>
      </rPr>
      <t xml:space="preserve">特殊规则1:只要下述用电器中有一个出现在回路清单中，则该用电器相关的回路增加特定的商务成本
</t>
    </r>
    <r>
      <rPr>
        <sz val="11"/>
        <color theme="1"/>
        <rFont val="微软雅黑"/>
        <charset val="134"/>
      </rPr>
      <t>（半成品线的成本加成，以EPBActr_RL为例，有几根回路，成本加成就乘以几）</t>
    </r>
  </si>
  <si>
    <t>用电器</t>
  </si>
  <si>
    <t>商务成本加成</t>
  </si>
  <si>
    <t>EPBActr_RL</t>
  </si>
  <si>
    <t>EPBActr_RR</t>
  </si>
  <si>
    <t>EShABs_FL</t>
  </si>
  <si>
    <t>EShABs_FR</t>
  </si>
  <si>
    <t>EShABs_RL</t>
  </si>
  <si>
    <t>EShABs_RR</t>
  </si>
  <si>
    <t>WhlSpdSnsr_FL</t>
  </si>
  <si>
    <t>WhlSpdSnsr_FR</t>
  </si>
  <si>
    <t>WhlSpdSnsr_RL</t>
  </si>
  <si>
    <t>WhlSpdSnsr_RR</t>
  </si>
  <si>
    <t>SbltRtctrPT_DP</t>
  </si>
  <si>
    <t>SbltRtctrPT_FP</t>
  </si>
  <si>
    <t>DAB</t>
  </si>
  <si>
    <t>PAB</t>
  </si>
  <si>
    <t>SbltAnchPT_DP</t>
  </si>
  <si>
    <t>SbltAnchPT_FP</t>
  </si>
  <si>
    <t>SAB_LH</t>
  </si>
  <si>
    <t>SAB_RH</t>
  </si>
  <si>
    <t>SecRowSbltRtctrPT_LH</t>
  </si>
  <si>
    <t>SecRowSbltRtctrPT_RH</t>
  </si>
  <si>
    <t>HoodLift_LH</t>
  </si>
  <si>
    <t>HoodLift_RH</t>
  </si>
  <si>
    <t>Cutn_LH</t>
  </si>
  <si>
    <t>Cutn_RH</t>
  </si>
  <si>
    <t>SecCutn_LH</t>
  </si>
  <si>
    <t>SecCutn_RH</t>
  </si>
  <si>
    <t>KneeAirbag_DP</t>
  </si>
  <si>
    <t>KneeAirbag_FP</t>
  </si>
  <si>
    <t>FSFSAB</t>
  </si>
  <si>
    <t>HSD</t>
  </si>
  <si>
    <t>同轴，耐弯折，行货</t>
  </si>
  <si>
    <t>万兆以太网</t>
  </si>
  <si>
    <t>策略中不使用</t>
  </si>
  <si>
    <t>百兆以太网</t>
  </si>
  <si>
    <t>同轴，不耐弯折，传输信号更好</t>
  </si>
  <si>
    <t>同轴，耐弯折，莱尼的货</t>
  </si>
  <si>
    <t>策略中不同意打断</t>
  </si>
  <si>
    <t>FLALRY</t>
  </si>
  <si>
    <t>铝电缆</t>
  </si>
  <si>
    <t>FLR91X-F</t>
  </si>
  <si>
    <t>硅胶铜电缆</t>
  </si>
  <si>
    <t>FLRY-F</t>
  </si>
  <si>
    <t>普通铜电缆</t>
  </si>
  <si>
    <r>
      <rPr>
        <b/>
        <sz val="14"/>
        <color theme="1"/>
        <rFont val="微软雅黑"/>
        <charset val="134"/>
      </rPr>
      <t>Lwire：</t>
    </r>
    <r>
      <rPr>
        <sz val="14"/>
        <color theme="1"/>
        <rFont val="微软雅黑"/>
        <charset val="134"/>
      </rPr>
      <t xml:space="preserve">回路长度      </t>
    </r>
    <r>
      <rPr>
        <b/>
        <sz val="14"/>
        <color theme="1"/>
        <rFont val="微软雅黑"/>
        <charset val="134"/>
      </rPr>
      <t>Cwire：</t>
    </r>
    <r>
      <rPr>
        <sz val="14"/>
        <color theme="1"/>
        <rFont val="微软雅黑"/>
        <charset val="134"/>
      </rPr>
      <t xml:space="preserve">导线商务单价      </t>
    </r>
    <r>
      <rPr>
        <b/>
        <sz val="14"/>
        <color theme="1"/>
        <rFont val="微软雅黑"/>
        <charset val="134"/>
      </rPr>
      <t>Csplit：</t>
    </r>
    <r>
      <rPr>
        <sz val="14"/>
        <color theme="1"/>
        <rFont val="微软雅黑"/>
        <charset val="134"/>
      </rPr>
      <t xml:space="preserve">导线干区打断代价      </t>
    </r>
    <r>
      <rPr>
        <b/>
        <sz val="14"/>
        <color theme="1"/>
        <rFont val="微软雅黑"/>
        <charset val="134"/>
      </rPr>
      <t>Ccon_add：</t>
    </r>
    <r>
      <rPr>
        <sz val="14"/>
        <color theme="1"/>
        <rFont val="微软雅黑"/>
        <charset val="134"/>
      </rPr>
      <t xml:space="preserve">连接器湿区价格补偿       </t>
    </r>
    <r>
      <rPr>
        <b/>
        <sz val="14"/>
        <color theme="1"/>
        <rFont val="微软雅黑"/>
        <charset val="134"/>
      </rPr>
      <t>Cseal_add：</t>
    </r>
    <r>
      <rPr>
        <sz val="14"/>
        <color theme="1"/>
        <rFont val="微软雅黑"/>
        <charset val="134"/>
      </rPr>
      <t xml:space="preserve"> 防水塞湿区价格补偿      </t>
    </r>
    <r>
      <rPr>
        <b/>
        <sz val="14"/>
        <color theme="1"/>
        <rFont val="微软雅黑"/>
        <charset val="134"/>
      </rPr>
      <t xml:space="preserve">Cwire_add： </t>
    </r>
    <r>
      <rPr>
        <sz val="14"/>
        <color theme="1"/>
        <rFont val="微软雅黑"/>
        <charset val="134"/>
      </rPr>
      <t xml:space="preserve">半成品线成本补偿      </t>
    </r>
    <r>
      <rPr>
        <b/>
        <sz val="14"/>
        <color theme="1"/>
        <rFont val="微软雅黑"/>
        <charset val="134"/>
      </rPr>
      <t>Wwire：</t>
    </r>
    <r>
      <rPr>
        <sz val="14"/>
        <color theme="1"/>
        <rFont val="微软雅黑"/>
        <charset val="134"/>
      </rPr>
      <t>导线单位重量</t>
    </r>
  </si>
  <si>
    <t>典型场景</t>
  </si>
  <si>
    <r>
      <rPr>
        <b/>
        <sz val="18"/>
        <color theme="1"/>
        <rFont val="微软雅黑"/>
        <charset val="134"/>
      </rPr>
      <t xml:space="preserve">成本计算
</t>
    </r>
    <r>
      <rPr>
        <sz val="12"/>
        <color theme="1"/>
        <rFont val="微软雅黑"/>
        <charset val="134"/>
      </rPr>
      <t>(合点价格 &amp; 湿区合点热缩管价格，暂未纳入考虑）</t>
    </r>
  </si>
  <si>
    <r>
      <rPr>
        <b/>
        <sz val="18"/>
        <color theme="1"/>
        <rFont val="微软雅黑"/>
        <charset val="134"/>
      </rPr>
      <t xml:space="preserve">回路重量计算
</t>
    </r>
    <r>
      <rPr>
        <sz val="12"/>
        <color theme="1"/>
        <rFont val="微软雅黑"/>
        <charset val="134"/>
      </rPr>
      <t>（连接器塑壳重量 &amp; 端子重量，暂未纳入考虑）</t>
    </r>
  </si>
  <si>
    <t>当回路是普通导线
当回路是高速线缆</t>
  </si>
  <si>
    <t>当回路是半成品线</t>
  </si>
  <si>
    <t>1、</t>
  </si>
  <si>
    <t>端子塑壳
位于干区</t>
  </si>
  <si>
    <t>回路</t>
  </si>
  <si>
    <t>Lwire x Cwire + Csplit</t>
  </si>
  <si>
    <t>左侧公式 + Cwire_add</t>
  </si>
  <si>
    <t>Lwire x Wwire</t>
  </si>
  <si>
    <t>2、</t>
  </si>
  <si>
    <t>端子塑壳
位于湿区</t>
  </si>
  <si>
    <t>Lwire x Cwire + Csplit + Ccon_add + Cseal_add</t>
  </si>
  <si>
    <t>3、</t>
  </si>
  <si>
    <t>Lwire x Cwire + Csplit + Ccon_add x2 + Cseal_add x2</t>
  </si>
  <si>
    <t>打断发生在干区时</t>
  </si>
  <si>
    <t>4、</t>
  </si>
  <si>
    <t>被打断的回路</t>
  </si>
  <si>
    <t>Lwire x Cwire + Csplit x2</t>
  </si>
  <si>
    <t>5、</t>
  </si>
  <si>
    <t>Lwire x Cwire + Csplit x2 + Ccon_add + Cseal_add</t>
  </si>
  <si>
    <t>打断发生在湿区时</t>
  </si>
  <si>
    <t>6、</t>
  </si>
  <si>
    <t>Lwire x Cwire + Csplit x2 + Ccon_add x3 + Cseal_add x3</t>
  </si>
  <si>
    <t>7、</t>
  </si>
  <si>
    <t>Lwire x Cwire + Csplit x2 + Ccon_add x2 + Cseal_add x2</t>
  </si>
  <si>
    <t>8、</t>
  </si>
  <si>
    <t>Lwire x Cwire + Csplit x2 + Ccon_add x4 + Cseal_add x4</t>
  </si>
  <si>
    <t>9、</t>
  </si>
  <si>
    <t>合点</t>
  </si>
  <si>
    <t>Lwire x Cwire + Csplit x0.5</t>
  </si>
  <si>
    <t>10、</t>
  </si>
  <si>
    <t>Lwire x Cwire + Csplit /2 + Ccon_add + Cseal_add</t>
  </si>
  <si>
    <t>11、</t>
  </si>
  <si>
    <t>Lwire x Cwire + Csplit x1.5</t>
  </si>
  <si>
    <t>12、</t>
  </si>
  <si>
    <t>Lwire x Cwire + Csplit x1.5 + Ccon_add x2 + Cseal_add x2</t>
  </si>
  <si>
    <t>13、</t>
  </si>
  <si>
    <t>Lwire x Cwire + Csplit x1.5 + Ccon_add + Cseal_add</t>
  </si>
  <si>
    <t>14、</t>
  </si>
  <si>
    <t>Lwire x Cwire + Csplit x1.5 + Ccon_add x3 + Cseal_add x3</t>
  </si>
  <si>
    <t>15、</t>
  </si>
  <si>
    <t>Lwire x Cwire</t>
  </si>
  <si>
    <t>16、</t>
  </si>
  <si>
    <t>17、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</si>
</sst>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8"/>
      <color theme="1"/>
      <name val="微软雅黑"/>
      <charset val="134"/>
    </font>
    <font>
      <b/>
      <sz val="10"/>
      <color theme="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name val="微软雅黑"/>
      <charset val="134"/>
    </font>
    <font>
      <sz val="12"/>
      <name val="微软雅黑"/>
      <charset val="0"/>
    </font>
    <font>
      <sz val="12"/>
      <color rgb="FF353535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8" applyNumberFormat="0" applyAlignment="0" applyProtection="0">
      <alignment vertical="center"/>
    </xf>
    <xf numFmtId="0" fontId="22" fillId="13" borderId="19" applyNumberFormat="0" applyAlignment="0" applyProtection="0">
      <alignment vertical="center"/>
    </xf>
    <xf numFmtId="0" fontId="23" fillId="13" borderId="18" applyNumberFormat="0" applyAlignment="0" applyProtection="0">
      <alignment vertical="center"/>
    </xf>
    <xf numFmtId="0" fontId="24" fillId="14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5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7" xfId="0" applyFont="1" applyFill="1" applyBorder="1">
      <alignment vertical="center"/>
    </xf>
    <xf numFmtId="0" fontId="1" fillId="0" borderId="8" xfId="0" applyFont="1" applyBorder="1">
      <alignment vertical="center"/>
    </xf>
    <xf numFmtId="0" fontId="4" fillId="0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Fill="1" applyBorder="1">
      <alignment vertical="center"/>
    </xf>
    <xf numFmtId="0" fontId="1" fillId="0" borderId="10" xfId="0" applyFont="1" applyBorder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Fill="1" applyBorder="1">
      <alignment vertical="center"/>
    </xf>
    <xf numFmtId="0" fontId="1" fillId="0" borderId="12" xfId="0" applyFont="1" applyBorder="1">
      <alignment vertical="center"/>
    </xf>
    <xf numFmtId="0" fontId="0" fillId="7" borderId="0" xfId="0" applyFill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9" borderId="13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0" fontId="0" fillId="0" borderId="0" xfId="0" applyFill="1">
      <alignment vertical="center"/>
    </xf>
    <xf numFmtId="0" fontId="9" fillId="0" borderId="14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9"/>
  <sheetViews>
    <sheetView tabSelected="1" zoomScale="55" zoomScaleNormal="55" topLeftCell="A34" workbookViewId="0">
      <selection activeCell="C76" sqref="C76"/>
    </sheetView>
  </sheetViews>
  <sheetFormatPr defaultColWidth="9" defaultRowHeight="15.6"/>
  <cols>
    <col min="1" max="1" width="30.3611111111111" style="37" customWidth="1"/>
    <col min="2" max="2" width="22.1759259259259" style="38" customWidth="1"/>
    <col min="3" max="3" width="25.3611111111111" style="38" customWidth="1"/>
    <col min="4" max="4" width="17.3611111111111" style="38" customWidth="1"/>
    <col min="5" max="5" width="40.6296296296296" style="38" customWidth="1"/>
    <col min="6" max="6" width="26.3425925925926" style="38" customWidth="1"/>
    <col min="7" max="7" width="24.2777777777778" style="38" customWidth="1"/>
    <col min="8" max="8" width="25.0740740740741" style="38" customWidth="1"/>
    <col min="9" max="9" width="29.3611111111111" style="38" customWidth="1"/>
    <col min="10" max="10" width="26.9814814814815" style="38" customWidth="1"/>
    <col min="11" max="11" width="49.0462962962963" style="38" customWidth="1"/>
    <col min="12" max="12" width="41.2592592592593" style="38" customWidth="1"/>
    <col min="13" max="13" width="17.8148148148148" style="38" hidden="1" customWidth="1"/>
    <col min="14" max="14" width="21.0925925925926" style="38" hidden="1" customWidth="1"/>
    <col min="15" max="15" width="17.6296296296296" style="38" hidden="1" customWidth="1"/>
    <col min="16" max="16" width="17.3611111111111" style="38" hidden="1" customWidth="1"/>
    <col min="17" max="17" width="14" style="38" hidden="1" customWidth="1"/>
    <col min="18" max="18" width="12.0925925925926" style="38" hidden="1" customWidth="1"/>
    <col min="19" max="19" width="15.0925925925926" style="38" hidden="1" customWidth="1"/>
  </cols>
  <sheetData>
    <row r="1" ht="88" customHeight="1" spans="1:19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40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</row>
    <row r="2" ht="17.4" spans="1:20">
      <c r="A2" s="41" t="s">
        <v>19</v>
      </c>
      <c r="B2" s="42">
        <v>9.1</v>
      </c>
      <c r="C2" s="42">
        <v>11.38</v>
      </c>
      <c r="D2" s="42">
        <v>160</v>
      </c>
      <c r="E2" s="43">
        <v>2.5</v>
      </c>
      <c r="F2" s="40">
        <v>0.5</v>
      </c>
      <c r="G2" s="43">
        <f>(E2+L2)*2</f>
        <v>11.25</v>
      </c>
      <c r="H2" s="43">
        <v>0</v>
      </c>
      <c r="I2" s="43">
        <v>0</v>
      </c>
      <c r="J2" s="42">
        <v>7.2</v>
      </c>
      <c r="K2" s="43">
        <v>2.5</v>
      </c>
      <c r="L2" s="43">
        <f>K2/0.8</f>
        <v>3.125</v>
      </c>
      <c r="M2" s="50"/>
      <c r="N2" s="50"/>
      <c r="O2" s="50"/>
      <c r="P2" s="50"/>
      <c r="Q2" s="50"/>
      <c r="R2" s="50"/>
      <c r="S2" s="50"/>
      <c r="T2" s="53"/>
    </row>
    <row r="3" ht="17.4" spans="1:20">
      <c r="A3" s="41" t="s">
        <v>20</v>
      </c>
      <c r="B3" s="42">
        <v>10.3</v>
      </c>
      <c r="C3" s="42">
        <v>12.88</v>
      </c>
      <c r="D3" s="42">
        <v>191</v>
      </c>
      <c r="E3" s="43">
        <v>2.5</v>
      </c>
      <c r="F3" s="40">
        <v>0.5</v>
      </c>
      <c r="G3" s="43">
        <f t="shared" ref="G3:G19" si="0">(E3+L3)*2</f>
        <v>11.25</v>
      </c>
      <c r="H3" s="43">
        <v>0</v>
      </c>
      <c r="I3" s="43">
        <v>0</v>
      </c>
      <c r="J3" s="42">
        <v>7.8</v>
      </c>
      <c r="K3" s="43">
        <v>2.5</v>
      </c>
      <c r="L3" s="43">
        <f t="shared" ref="L3:L19" si="1">K3/0.8</f>
        <v>3.125</v>
      </c>
      <c r="M3" s="50"/>
      <c r="N3" s="50"/>
      <c r="O3" s="50"/>
      <c r="P3" s="50"/>
      <c r="Q3" s="50"/>
      <c r="R3" s="50"/>
      <c r="S3" s="50"/>
      <c r="T3" s="53"/>
    </row>
    <row r="4" ht="17.4" spans="1:20">
      <c r="A4" s="41" t="s">
        <v>21</v>
      </c>
      <c r="B4" s="42">
        <v>12.28</v>
      </c>
      <c r="C4" s="42">
        <v>15.35</v>
      </c>
      <c r="D4" s="42">
        <v>244</v>
      </c>
      <c r="E4" s="43">
        <v>2.5</v>
      </c>
      <c r="F4" s="40">
        <v>0.5</v>
      </c>
      <c r="G4" s="43">
        <f t="shared" si="0"/>
        <v>11.25</v>
      </c>
      <c r="H4" s="43">
        <v>0</v>
      </c>
      <c r="I4" s="43">
        <v>0</v>
      </c>
      <c r="J4" s="42">
        <v>8.7</v>
      </c>
      <c r="K4" s="43">
        <v>2.5</v>
      </c>
      <c r="L4" s="43">
        <f t="shared" si="1"/>
        <v>3.125</v>
      </c>
      <c r="M4" s="50"/>
      <c r="N4" s="50"/>
      <c r="O4" s="50"/>
      <c r="P4" s="50"/>
      <c r="Q4" s="50"/>
      <c r="R4" s="50"/>
      <c r="S4" s="50"/>
      <c r="T4" s="53"/>
    </row>
    <row r="5" ht="17.4" spans="1:20">
      <c r="A5" s="41" t="s">
        <v>22</v>
      </c>
      <c r="B5" s="42">
        <v>17.58</v>
      </c>
      <c r="C5" s="42">
        <v>21.98</v>
      </c>
      <c r="D5" s="42">
        <v>344</v>
      </c>
      <c r="E5" s="43">
        <v>2.5</v>
      </c>
      <c r="F5" s="40">
        <v>0.5</v>
      </c>
      <c r="G5" s="43">
        <f t="shared" si="0"/>
        <v>11.25</v>
      </c>
      <c r="H5" s="43">
        <v>0</v>
      </c>
      <c r="I5" s="43">
        <v>0</v>
      </c>
      <c r="J5" s="42">
        <v>10.4</v>
      </c>
      <c r="K5" s="43">
        <v>2.5</v>
      </c>
      <c r="L5" s="43">
        <f t="shared" si="1"/>
        <v>3.125</v>
      </c>
      <c r="M5" s="50"/>
      <c r="N5" s="50"/>
      <c r="O5" s="50"/>
      <c r="P5" s="50"/>
      <c r="Q5" s="50"/>
      <c r="R5" s="50"/>
      <c r="S5" s="50"/>
      <c r="T5" s="53"/>
    </row>
    <row r="6" ht="17.4" spans="1:20">
      <c r="A6" s="41" t="s">
        <v>23</v>
      </c>
      <c r="B6" s="42">
        <v>9.5</v>
      </c>
      <c r="C6" s="42">
        <v>11.88</v>
      </c>
      <c r="D6" s="42">
        <v>159</v>
      </c>
      <c r="E6" s="43">
        <v>2.5</v>
      </c>
      <c r="F6" s="40">
        <v>0.5</v>
      </c>
      <c r="G6" s="43">
        <f t="shared" si="0"/>
        <v>11.25</v>
      </c>
      <c r="H6" s="43">
        <v>0</v>
      </c>
      <c r="I6" s="43">
        <v>0</v>
      </c>
      <c r="J6" s="42">
        <v>7.2</v>
      </c>
      <c r="K6" s="43">
        <v>2.5</v>
      </c>
      <c r="L6" s="43">
        <f t="shared" si="1"/>
        <v>3.125</v>
      </c>
      <c r="M6" s="50"/>
      <c r="N6" s="50"/>
      <c r="O6" s="50"/>
      <c r="P6" s="50"/>
      <c r="Q6" s="50"/>
      <c r="R6" s="50"/>
      <c r="S6" s="50"/>
      <c r="T6" s="53"/>
    </row>
    <row r="7" ht="17.4" spans="1:20">
      <c r="A7" s="41" t="s">
        <v>24</v>
      </c>
      <c r="B7" s="42">
        <v>10.73</v>
      </c>
      <c r="C7" s="42">
        <v>13.41</v>
      </c>
      <c r="D7" s="42">
        <v>188</v>
      </c>
      <c r="E7" s="43">
        <v>2.5</v>
      </c>
      <c r="F7" s="40">
        <v>0.5</v>
      </c>
      <c r="G7" s="43">
        <f t="shared" si="0"/>
        <v>11.25</v>
      </c>
      <c r="H7" s="43">
        <v>0</v>
      </c>
      <c r="I7" s="43">
        <v>0</v>
      </c>
      <c r="J7" s="42">
        <v>7.8</v>
      </c>
      <c r="K7" s="43">
        <v>2.5</v>
      </c>
      <c r="L7" s="43">
        <f t="shared" si="1"/>
        <v>3.125</v>
      </c>
      <c r="M7" s="50"/>
      <c r="N7" s="50"/>
      <c r="O7" s="50"/>
      <c r="P7" s="50"/>
      <c r="Q7" s="50"/>
      <c r="R7" s="50"/>
      <c r="S7" s="50"/>
      <c r="T7" s="53"/>
    </row>
    <row r="8" ht="17.4" spans="1:20">
      <c r="A8" s="41" t="s">
        <v>25</v>
      </c>
      <c r="B8" s="42">
        <v>13.14</v>
      </c>
      <c r="C8" s="42">
        <v>16.43</v>
      </c>
      <c r="D8" s="42">
        <v>243</v>
      </c>
      <c r="E8" s="43">
        <v>2.5</v>
      </c>
      <c r="F8" s="40">
        <v>0.5</v>
      </c>
      <c r="G8" s="43">
        <f t="shared" si="0"/>
        <v>11.25</v>
      </c>
      <c r="H8" s="43">
        <v>0</v>
      </c>
      <c r="I8" s="43">
        <v>0</v>
      </c>
      <c r="J8" s="42">
        <v>8.7</v>
      </c>
      <c r="K8" s="43">
        <v>2.5</v>
      </c>
      <c r="L8" s="43">
        <f t="shared" si="1"/>
        <v>3.125</v>
      </c>
      <c r="M8" s="50"/>
      <c r="N8" s="50"/>
      <c r="O8" s="50"/>
      <c r="P8" s="50"/>
      <c r="Q8" s="50"/>
      <c r="R8" s="50"/>
      <c r="S8" s="50"/>
      <c r="T8" s="53"/>
    </row>
    <row r="9" ht="17.4" spans="1:20">
      <c r="A9" s="41" t="s">
        <v>26</v>
      </c>
      <c r="B9" s="42">
        <v>18.71</v>
      </c>
      <c r="C9" s="42">
        <v>23.39</v>
      </c>
      <c r="D9" s="42">
        <v>342</v>
      </c>
      <c r="E9" s="43">
        <v>2.5</v>
      </c>
      <c r="F9" s="40">
        <v>0.5</v>
      </c>
      <c r="G9" s="43">
        <f t="shared" si="0"/>
        <v>11.25</v>
      </c>
      <c r="H9" s="43">
        <v>0</v>
      </c>
      <c r="I9" s="43">
        <v>0</v>
      </c>
      <c r="J9" s="42">
        <v>10.4</v>
      </c>
      <c r="K9" s="43">
        <v>2.5</v>
      </c>
      <c r="L9" s="43">
        <f t="shared" si="1"/>
        <v>3.125</v>
      </c>
      <c r="M9" s="50"/>
      <c r="N9" s="50"/>
      <c r="O9" s="50"/>
      <c r="P9" s="50"/>
      <c r="Q9" s="50"/>
      <c r="R9" s="50"/>
      <c r="S9" s="50"/>
      <c r="T9" s="53"/>
    </row>
    <row r="10" ht="17.4" spans="1:20">
      <c r="A10" s="41" t="s">
        <v>27</v>
      </c>
      <c r="B10" s="42">
        <v>4.08</v>
      </c>
      <c r="C10" s="42">
        <v>5.1</v>
      </c>
      <c r="D10" s="44">
        <v>96</v>
      </c>
      <c r="E10" s="43">
        <v>4.5</v>
      </c>
      <c r="F10" s="40">
        <v>1</v>
      </c>
      <c r="G10" s="43">
        <f t="shared" si="0"/>
        <v>15.25</v>
      </c>
      <c r="H10" s="43">
        <v>0</v>
      </c>
      <c r="I10" s="43">
        <v>0</v>
      </c>
      <c r="J10" s="42">
        <v>8.7</v>
      </c>
      <c r="K10" s="43">
        <v>2.5</v>
      </c>
      <c r="L10" s="43">
        <f t="shared" si="1"/>
        <v>3.125</v>
      </c>
      <c r="M10" s="50"/>
      <c r="N10" s="50"/>
      <c r="O10" s="50"/>
      <c r="P10" s="50"/>
      <c r="Q10" s="50"/>
      <c r="R10" s="50"/>
      <c r="S10" s="50"/>
      <c r="T10" s="53"/>
    </row>
    <row r="11" ht="17.4" spans="1:20">
      <c r="A11" s="41" t="s">
        <v>28</v>
      </c>
      <c r="B11" s="42">
        <v>4.83</v>
      </c>
      <c r="C11" s="42">
        <v>6.04</v>
      </c>
      <c r="D11" s="44">
        <v>116</v>
      </c>
      <c r="E11" s="43">
        <v>4.5</v>
      </c>
      <c r="F11" s="40">
        <v>1</v>
      </c>
      <c r="G11" s="43">
        <f t="shared" si="0"/>
        <v>15.25</v>
      </c>
      <c r="H11" s="43">
        <v>0</v>
      </c>
      <c r="I11" s="43">
        <v>0</v>
      </c>
      <c r="J11" s="42">
        <v>9.6</v>
      </c>
      <c r="K11" s="43">
        <v>2.5</v>
      </c>
      <c r="L11" s="43">
        <f t="shared" si="1"/>
        <v>3.125</v>
      </c>
      <c r="M11" s="50"/>
      <c r="N11" s="50"/>
      <c r="O11" s="50"/>
      <c r="P11" s="50"/>
      <c r="Q11" s="50"/>
      <c r="R11" s="50"/>
      <c r="S11" s="50"/>
      <c r="T11" s="53"/>
    </row>
    <row r="12" ht="17.4" spans="1:20">
      <c r="A12" s="41" t="s">
        <v>29</v>
      </c>
      <c r="B12" s="42">
        <v>5.77</v>
      </c>
      <c r="C12" s="42">
        <v>7.21</v>
      </c>
      <c r="D12" s="44">
        <v>136</v>
      </c>
      <c r="E12" s="43">
        <v>4.5</v>
      </c>
      <c r="F12" s="40">
        <v>1</v>
      </c>
      <c r="G12" s="43">
        <f t="shared" si="0"/>
        <v>15.25</v>
      </c>
      <c r="H12" s="43">
        <v>0</v>
      </c>
      <c r="I12" s="43">
        <v>0</v>
      </c>
      <c r="J12" s="42">
        <v>10.4</v>
      </c>
      <c r="K12" s="43">
        <v>2.5</v>
      </c>
      <c r="L12" s="43">
        <f t="shared" si="1"/>
        <v>3.125</v>
      </c>
      <c r="M12" s="50"/>
      <c r="N12" s="50"/>
      <c r="O12" s="50"/>
      <c r="P12" s="50"/>
      <c r="Q12" s="50"/>
      <c r="R12" s="50"/>
      <c r="S12" s="50"/>
      <c r="T12" s="53"/>
    </row>
    <row r="13" ht="17.4" spans="1:20">
      <c r="A13" s="41" t="s">
        <v>30</v>
      </c>
      <c r="B13" s="42">
        <v>6.5</v>
      </c>
      <c r="C13" s="42">
        <v>8.13</v>
      </c>
      <c r="D13" s="45">
        <v>154</v>
      </c>
      <c r="E13" s="43">
        <v>4.5</v>
      </c>
      <c r="F13" s="40">
        <v>1</v>
      </c>
      <c r="G13" s="43">
        <f t="shared" si="0"/>
        <v>15.25</v>
      </c>
      <c r="H13" s="43">
        <v>0</v>
      </c>
      <c r="I13" s="43">
        <v>0</v>
      </c>
      <c r="J13" s="42">
        <v>11.1</v>
      </c>
      <c r="K13" s="43">
        <v>2.5</v>
      </c>
      <c r="L13" s="43">
        <f t="shared" si="1"/>
        <v>3.125</v>
      </c>
      <c r="M13" s="50"/>
      <c r="N13" s="50"/>
      <c r="O13" s="50"/>
      <c r="P13" s="50"/>
      <c r="Q13" s="50"/>
      <c r="R13" s="50"/>
      <c r="S13" s="50"/>
      <c r="T13" s="53"/>
    </row>
    <row r="14" ht="17.4" spans="1:20">
      <c r="A14" s="41" t="s">
        <v>31</v>
      </c>
      <c r="B14" s="42">
        <v>9.72</v>
      </c>
      <c r="C14" s="42">
        <v>12.15</v>
      </c>
      <c r="D14" s="45">
        <v>227</v>
      </c>
      <c r="E14" s="43">
        <v>4.5</v>
      </c>
      <c r="F14" s="40">
        <v>1</v>
      </c>
      <c r="G14" s="43">
        <f t="shared" si="0"/>
        <v>15.25</v>
      </c>
      <c r="H14" s="43">
        <v>0</v>
      </c>
      <c r="I14" s="43">
        <v>0</v>
      </c>
      <c r="J14" s="42">
        <v>13.3</v>
      </c>
      <c r="K14" s="43">
        <v>2.5</v>
      </c>
      <c r="L14" s="43">
        <f t="shared" si="1"/>
        <v>3.125</v>
      </c>
      <c r="M14" s="50"/>
      <c r="N14" s="50"/>
      <c r="O14" s="50"/>
      <c r="P14" s="50"/>
      <c r="Q14" s="50"/>
      <c r="R14" s="50"/>
      <c r="S14" s="50"/>
      <c r="T14" s="53"/>
    </row>
    <row r="15" ht="17.4" spans="1:20">
      <c r="A15" s="41" t="s">
        <v>32</v>
      </c>
      <c r="B15" s="42">
        <v>5.3</v>
      </c>
      <c r="C15" s="42">
        <v>6.63</v>
      </c>
      <c r="D15" s="45">
        <v>95</v>
      </c>
      <c r="E15" s="43">
        <v>4.5</v>
      </c>
      <c r="F15" s="40">
        <v>1</v>
      </c>
      <c r="G15" s="43">
        <f t="shared" si="0"/>
        <v>15.25</v>
      </c>
      <c r="H15" s="43">
        <v>0</v>
      </c>
      <c r="I15" s="43">
        <v>0</v>
      </c>
      <c r="J15" s="42">
        <v>8.7</v>
      </c>
      <c r="K15" s="43">
        <v>2.5</v>
      </c>
      <c r="L15" s="43">
        <f t="shared" si="1"/>
        <v>3.125</v>
      </c>
      <c r="M15" s="50"/>
      <c r="N15" s="50"/>
      <c r="O15" s="50"/>
      <c r="P15" s="50"/>
      <c r="Q15" s="50"/>
      <c r="R15" s="50"/>
      <c r="S15" s="50"/>
      <c r="T15" s="53"/>
    </row>
    <row r="16" ht="17.4" spans="1:20">
      <c r="A16" s="41" t="s">
        <v>33</v>
      </c>
      <c r="B16" s="42">
        <v>6</v>
      </c>
      <c r="C16" s="42">
        <v>7.5</v>
      </c>
      <c r="D16" s="45">
        <v>115</v>
      </c>
      <c r="E16" s="43">
        <v>4.5</v>
      </c>
      <c r="F16" s="40">
        <v>1</v>
      </c>
      <c r="G16" s="43">
        <f t="shared" si="0"/>
        <v>15.25</v>
      </c>
      <c r="H16" s="43">
        <v>0</v>
      </c>
      <c r="I16" s="43">
        <v>0</v>
      </c>
      <c r="J16" s="42">
        <v>9.6</v>
      </c>
      <c r="K16" s="43">
        <v>2.5</v>
      </c>
      <c r="L16" s="43">
        <f t="shared" si="1"/>
        <v>3.125</v>
      </c>
      <c r="M16" s="50"/>
      <c r="N16" s="50"/>
      <c r="O16" s="50"/>
      <c r="P16" s="50"/>
      <c r="Q16" s="50"/>
      <c r="R16" s="50"/>
      <c r="S16" s="50"/>
      <c r="T16" s="53"/>
    </row>
    <row r="17" ht="17.4" spans="1:20">
      <c r="A17" s="41" t="s">
        <v>34</v>
      </c>
      <c r="B17" s="42">
        <v>6.9</v>
      </c>
      <c r="C17" s="42">
        <v>8.63</v>
      </c>
      <c r="D17" s="45">
        <v>135</v>
      </c>
      <c r="E17" s="43">
        <v>4.5</v>
      </c>
      <c r="F17" s="40">
        <v>1</v>
      </c>
      <c r="G17" s="43">
        <f t="shared" si="0"/>
        <v>15.25</v>
      </c>
      <c r="H17" s="43">
        <v>0</v>
      </c>
      <c r="I17" s="43">
        <v>0</v>
      </c>
      <c r="J17" s="42">
        <v>10.4</v>
      </c>
      <c r="K17" s="43">
        <v>2.5</v>
      </c>
      <c r="L17" s="43">
        <f t="shared" si="1"/>
        <v>3.125</v>
      </c>
      <c r="M17" s="50"/>
      <c r="N17" s="50"/>
      <c r="O17" s="50"/>
      <c r="P17" s="50"/>
      <c r="Q17" s="50"/>
      <c r="R17" s="50"/>
      <c r="S17" s="50"/>
      <c r="T17" s="53"/>
    </row>
    <row r="18" ht="17.4" spans="1:20">
      <c r="A18" s="41" t="s">
        <v>35</v>
      </c>
      <c r="B18" s="42">
        <v>8.5</v>
      </c>
      <c r="C18" s="42">
        <v>10.63</v>
      </c>
      <c r="D18" s="45">
        <v>154</v>
      </c>
      <c r="E18" s="43">
        <v>4.5</v>
      </c>
      <c r="F18" s="40">
        <v>1</v>
      </c>
      <c r="G18" s="43">
        <f t="shared" si="0"/>
        <v>15.25</v>
      </c>
      <c r="H18" s="43">
        <v>0</v>
      </c>
      <c r="I18" s="43">
        <v>0</v>
      </c>
      <c r="J18" s="42">
        <v>11.1</v>
      </c>
      <c r="K18" s="43">
        <v>2.5</v>
      </c>
      <c r="L18" s="43">
        <f t="shared" si="1"/>
        <v>3.125</v>
      </c>
      <c r="M18" s="50"/>
      <c r="N18" s="50"/>
      <c r="O18" s="50"/>
      <c r="P18" s="50"/>
      <c r="Q18" s="50"/>
      <c r="R18" s="50"/>
      <c r="S18" s="50"/>
      <c r="T18" s="53"/>
    </row>
    <row r="19" ht="17.4" spans="1:20">
      <c r="A19" s="41" t="s">
        <v>36</v>
      </c>
      <c r="B19" s="42">
        <v>11.63</v>
      </c>
      <c r="C19" s="42">
        <v>14.54</v>
      </c>
      <c r="D19" s="45">
        <v>225</v>
      </c>
      <c r="E19" s="43">
        <v>4.5</v>
      </c>
      <c r="F19" s="40">
        <v>1</v>
      </c>
      <c r="G19" s="43">
        <f t="shared" si="0"/>
        <v>15.25</v>
      </c>
      <c r="H19" s="43">
        <v>0</v>
      </c>
      <c r="I19" s="43">
        <v>0</v>
      </c>
      <c r="J19" s="42">
        <v>13.3</v>
      </c>
      <c r="K19" s="43">
        <v>2.5</v>
      </c>
      <c r="L19" s="43">
        <f t="shared" si="1"/>
        <v>3.125</v>
      </c>
      <c r="M19" s="50"/>
      <c r="N19" s="50"/>
      <c r="O19" s="50"/>
      <c r="P19" s="50"/>
      <c r="Q19" s="50"/>
      <c r="R19" s="50"/>
      <c r="S19" s="50"/>
      <c r="T19" s="53"/>
    </row>
    <row r="20" ht="17.4" spans="1:19">
      <c r="A20" s="46" t="s">
        <v>37</v>
      </c>
      <c r="B20" s="47">
        <v>4</v>
      </c>
      <c r="C20" s="47">
        <f t="shared" ref="C20:C35" si="2">B20/0.75*0.9</f>
        <v>4.8</v>
      </c>
      <c r="D20" s="47">
        <v>114</v>
      </c>
      <c r="E20" s="47">
        <v>1.2</v>
      </c>
      <c r="F20" s="40">
        <v>0.5</v>
      </c>
      <c r="G20" s="47">
        <f t="shared" ref="G20:G42" si="3">(E20+L20)*2</f>
        <v>3.96</v>
      </c>
      <c r="H20" s="47">
        <v>1.3</v>
      </c>
      <c r="I20" s="47">
        <v>0.8</v>
      </c>
      <c r="J20" s="47">
        <v>6</v>
      </c>
      <c r="K20" s="47">
        <v>0.65</v>
      </c>
      <c r="L20" s="47">
        <f>K20/0.75*0.9</f>
        <v>0.78</v>
      </c>
      <c r="M20" s="39">
        <v>10.8</v>
      </c>
      <c r="N20" s="51">
        <v>0.5</v>
      </c>
      <c r="O20" s="51">
        <v>6.1</v>
      </c>
      <c r="P20" s="52" t="s">
        <v>38</v>
      </c>
      <c r="Q20" s="52">
        <v>30</v>
      </c>
      <c r="R20" s="52" t="s">
        <v>39</v>
      </c>
      <c r="S20" s="54">
        <v>200</v>
      </c>
    </row>
    <row r="21" ht="17.4" spans="1:19">
      <c r="A21" s="46" t="s">
        <v>40</v>
      </c>
      <c r="B21" s="47">
        <v>4</v>
      </c>
      <c r="C21" s="47">
        <f t="shared" si="2"/>
        <v>4.8</v>
      </c>
      <c r="D21" s="47">
        <v>114</v>
      </c>
      <c r="E21" s="47">
        <v>1.2</v>
      </c>
      <c r="F21" s="40">
        <v>0.5</v>
      </c>
      <c r="G21" s="47">
        <f t="shared" si="3"/>
        <v>3.96</v>
      </c>
      <c r="H21" s="47">
        <v>1.3</v>
      </c>
      <c r="I21" s="47">
        <v>0.8</v>
      </c>
      <c r="J21" s="47">
        <v>6</v>
      </c>
      <c r="K21" s="47">
        <v>0.65</v>
      </c>
      <c r="L21" s="47">
        <f t="shared" ref="L21:L52" si="4">K21/0.75*0.9</f>
        <v>0.78</v>
      </c>
      <c r="M21" s="39">
        <v>8.6</v>
      </c>
      <c r="N21" s="39">
        <v>0.35</v>
      </c>
      <c r="O21" s="39">
        <v>4.27</v>
      </c>
      <c r="P21" s="52" t="s">
        <v>38</v>
      </c>
      <c r="Q21" s="52">
        <v>30</v>
      </c>
      <c r="R21" s="52" t="s">
        <v>41</v>
      </c>
      <c r="S21" s="54">
        <v>100</v>
      </c>
    </row>
    <row r="22" ht="17.4" spans="1:19">
      <c r="A22" s="46" t="s">
        <v>42</v>
      </c>
      <c r="B22" s="47">
        <v>3</v>
      </c>
      <c r="C22" s="47">
        <f t="shared" si="2"/>
        <v>3.6</v>
      </c>
      <c r="D22" s="47">
        <v>88</v>
      </c>
      <c r="E22" s="47">
        <v>1.2</v>
      </c>
      <c r="F22" s="40">
        <v>0.5</v>
      </c>
      <c r="G22" s="47">
        <f t="shared" si="3"/>
        <v>3.96</v>
      </c>
      <c r="H22" s="47">
        <v>1.3</v>
      </c>
      <c r="I22" s="47">
        <v>0.8</v>
      </c>
      <c r="J22" s="47">
        <v>5</v>
      </c>
      <c r="K22" s="47">
        <v>0.65</v>
      </c>
      <c r="L22" s="47">
        <f t="shared" si="4"/>
        <v>0.78</v>
      </c>
      <c r="M22" s="39">
        <v>10.8</v>
      </c>
      <c r="N22" s="51">
        <v>0.5</v>
      </c>
      <c r="O22" s="51">
        <v>6.1</v>
      </c>
      <c r="P22" s="52" t="s">
        <v>38</v>
      </c>
      <c r="Q22" s="52">
        <v>30</v>
      </c>
      <c r="R22" s="52" t="s">
        <v>39</v>
      </c>
      <c r="S22" s="54">
        <v>200</v>
      </c>
    </row>
    <row r="23" ht="17.4" spans="1:19">
      <c r="A23" s="46" t="s">
        <v>43</v>
      </c>
      <c r="B23" s="47">
        <v>3</v>
      </c>
      <c r="C23" s="47">
        <f t="shared" si="2"/>
        <v>3.6</v>
      </c>
      <c r="D23" s="47">
        <v>88</v>
      </c>
      <c r="E23" s="47">
        <v>1.2</v>
      </c>
      <c r="F23" s="40">
        <v>0.5</v>
      </c>
      <c r="G23" s="47">
        <f t="shared" si="3"/>
        <v>3.96</v>
      </c>
      <c r="H23" s="47">
        <v>1.3</v>
      </c>
      <c r="I23" s="47">
        <v>0.8</v>
      </c>
      <c r="J23" s="47">
        <v>5</v>
      </c>
      <c r="K23" s="47">
        <v>0.65</v>
      </c>
      <c r="L23" s="47">
        <f t="shared" si="4"/>
        <v>0.78</v>
      </c>
      <c r="M23" s="39">
        <v>8.6</v>
      </c>
      <c r="N23" s="39">
        <v>0.35</v>
      </c>
      <c r="O23" s="39">
        <v>4.27</v>
      </c>
      <c r="P23" s="52" t="s">
        <v>38</v>
      </c>
      <c r="Q23" s="52">
        <v>30</v>
      </c>
      <c r="R23" s="52" t="s">
        <v>41</v>
      </c>
      <c r="S23" s="54">
        <v>100</v>
      </c>
    </row>
    <row r="24" ht="17.4" spans="1:19">
      <c r="A24" s="46" t="s">
        <v>44</v>
      </c>
      <c r="B24" s="47">
        <v>2</v>
      </c>
      <c r="C24" s="47">
        <f t="shared" si="2"/>
        <v>2.4</v>
      </c>
      <c r="D24" s="47">
        <v>68</v>
      </c>
      <c r="E24" s="47">
        <v>1.2</v>
      </c>
      <c r="F24" s="40">
        <v>0.2</v>
      </c>
      <c r="G24" s="47">
        <f t="shared" si="3"/>
        <v>3.96</v>
      </c>
      <c r="H24" s="47">
        <v>1.3</v>
      </c>
      <c r="I24" s="47">
        <v>0.8</v>
      </c>
      <c r="J24" s="47">
        <v>4.3</v>
      </c>
      <c r="K24" s="47">
        <v>0.65</v>
      </c>
      <c r="L24" s="47">
        <f t="shared" si="4"/>
        <v>0.78</v>
      </c>
      <c r="M24" s="39">
        <v>8.6</v>
      </c>
      <c r="N24" s="39">
        <v>0.35</v>
      </c>
      <c r="O24" s="39">
        <v>4.27</v>
      </c>
      <c r="P24" s="52" t="s">
        <v>38</v>
      </c>
      <c r="Q24" s="52">
        <v>30</v>
      </c>
      <c r="R24" s="52" t="s">
        <v>41</v>
      </c>
      <c r="S24" s="54">
        <v>100</v>
      </c>
    </row>
    <row r="25" ht="17.4" spans="1:19">
      <c r="A25" s="46" t="s">
        <v>45</v>
      </c>
      <c r="B25" s="47">
        <v>2</v>
      </c>
      <c r="C25" s="47">
        <f t="shared" si="2"/>
        <v>2.4</v>
      </c>
      <c r="D25" s="47">
        <v>68</v>
      </c>
      <c r="E25" s="47">
        <v>1.2</v>
      </c>
      <c r="F25" s="40">
        <v>0.2</v>
      </c>
      <c r="G25" s="47">
        <f t="shared" si="3"/>
        <v>3.96</v>
      </c>
      <c r="H25" s="47">
        <v>1.3</v>
      </c>
      <c r="I25" s="47">
        <v>0.8</v>
      </c>
      <c r="J25" s="47">
        <v>4.3</v>
      </c>
      <c r="K25" s="47">
        <v>0.65</v>
      </c>
      <c r="L25" s="47">
        <f t="shared" si="4"/>
        <v>0.78</v>
      </c>
      <c r="M25" s="39">
        <v>10.8</v>
      </c>
      <c r="N25" s="51">
        <v>0.5</v>
      </c>
      <c r="O25" s="51">
        <v>6.1</v>
      </c>
      <c r="P25" s="52" t="s">
        <v>38</v>
      </c>
      <c r="Q25" s="52">
        <v>30</v>
      </c>
      <c r="R25" s="52" t="s">
        <v>39</v>
      </c>
      <c r="S25" s="54">
        <v>200</v>
      </c>
    </row>
    <row r="26" ht="17.4" spans="1:19">
      <c r="A26" s="46" t="s">
        <v>46</v>
      </c>
      <c r="B26" s="47">
        <v>1.85</v>
      </c>
      <c r="C26" s="47">
        <f t="shared" si="2"/>
        <v>2.22</v>
      </c>
      <c r="D26" s="47">
        <v>58</v>
      </c>
      <c r="E26" s="47">
        <v>1.2</v>
      </c>
      <c r="F26" s="40">
        <v>0.2</v>
      </c>
      <c r="G26" s="47">
        <f t="shared" si="3"/>
        <v>3.96</v>
      </c>
      <c r="H26" s="47">
        <v>1.3</v>
      </c>
      <c r="I26" s="47">
        <v>0.8</v>
      </c>
      <c r="J26" s="47">
        <v>4.2</v>
      </c>
      <c r="K26" s="47">
        <v>0.65</v>
      </c>
      <c r="L26" s="47">
        <f t="shared" si="4"/>
        <v>0.78</v>
      </c>
      <c r="M26" s="39">
        <v>8.6</v>
      </c>
      <c r="N26" s="39">
        <v>0.35</v>
      </c>
      <c r="O26" s="39">
        <v>4.27</v>
      </c>
      <c r="P26" s="52" t="s">
        <v>38</v>
      </c>
      <c r="Q26" s="52">
        <v>30</v>
      </c>
      <c r="R26" s="52" t="s">
        <v>41</v>
      </c>
      <c r="S26" s="54">
        <v>100</v>
      </c>
    </row>
    <row r="27" ht="17.4" spans="1:19">
      <c r="A27" s="46" t="s">
        <v>47</v>
      </c>
      <c r="B27" s="47">
        <v>1.85</v>
      </c>
      <c r="C27" s="47">
        <f t="shared" si="2"/>
        <v>2.22</v>
      </c>
      <c r="D27" s="47">
        <v>58</v>
      </c>
      <c r="E27" s="47">
        <v>1.2</v>
      </c>
      <c r="F27" s="40">
        <v>0.2</v>
      </c>
      <c r="G27" s="47">
        <f t="shared" si="3"/>
        <v>3.96</v>
      </c>
      <c r="H27" s="47">
        <v>1.3</v>
      </c>
      <c r="I27" s="47">
        <v>0.8</v>
      </c>
      <c r="J27" s="47">
        <v>4.2</v>
      </c>
      <c r="K27" s="47">
        <v>0.65</v>
      </c>
      <c r="L27" s="47">
        <f t="shared" si="4"/>
        <v>0.78</v>
      </c>
      <c r="M27" s="39">
        <v>10.8</v>
      </c>
      <c r="N27" s="51">
        <v>0.5</v>
      </c>
      <c r="O27" s="51">
        <v>6.1</v>
      </c>
      <c r="P27" s="52" t="s">
        <v>38</v>
      </c>
      <c r="Q27" s="52">
        <v>30</v>
      </c>
      <c r="R27" s="52" t="s">
        <v>39</v>
      </c>
      <c r="S27" s="54">
        <v>200</v>
      </c>
    </row>
    <row r="28" ht="17.4" spans="1:19">
      <c r="A28" s="46" t="s">
        <v>48</v>
      </c>
      <c r="B28" s="47">
        <v>1.67</v>
      </c>
      <c r="C28" s="47">
        <f t="shared" si="2"/>
        <v>2.004</v>
      </c>
      <c r="D28" s="47">
        <v>47.9</v>
      </c>
      <c r="E28" s="47">
        <v>0.8</v>
      </c>
      <c r="F28" s="40">
        <v>0.1</v>
      </c>
      <c r="G28" s="47">
        <f t="shared" si="3"/>
        <v>2.32</v>
      </c>
      <c r="H28" s="47">
        <v>1</v>
      </c>
      <c r="I28" s="47">
        <v>0.3</v>
      </c>
      <c r="J28" s="47">
        <v>3.7</v>
      </c>
      <c r="K28" s="47">
        <v>0.3</v>
      </c>
      <c r="L28" s="47">
        <f t="shared" si="4"/>
        <v>0.36</v>
      </c>
      <c r="M28" s="39">
        <v>8.6</v>
      </c>
      <c r="N28" s="39">
        <v>0.35</v>
      </c>
      <c r="O28" s="39">
        <v>4.27</v>
      </c>
      <c r="P28" s="52" t="s">
        <v>38</v>
      </c>
      <c r="Q28" s="52">
        <v>30</v>
      </c>
      <c r="R28" s="52" t="s">
        <v>41</v>
      </c>
      <c r="S28" s="54">
        <v>100</v>
      </c>
    </row>
    <row r="29" ht="17.4" spans="1:19">
      <c r="A29" s="46" t="s">
        <v>49</v>
      </c>
      <c r="B29" s="47">
        <v>1.67</v>
      </c>
      <c r="C29" s="47">
        <f t="shared" si="2"/>
        <v>2.004</v>
      </c>
      <c r="D29" s="47">
        <v>47.9</v>
      </c>
      <c r="E29" s="47">
        <v>0.8</v>
      </c>
      <c r="F29" s="40">
        <v>0.1</v>
      </c>
      <c r="G29" s="47">
        <f t="shared" si="3"/>
        <v>2.32</v>
      </c>
      <c r="H29" s="47">
        <v>1</v>
      </c>
      <c r="I29" s="47">
        <v>0.3</v>
      </c>
      <c r="J29" s="47">
        <v>3.7</v>
      </c>
      <c r="K29" s="47">
        <v>0.3</v>
      </c>
      <c r="L29" s="47">
        <f t="shared" si="4"/>
        <v>0.36</v>
      </c>
      <c r="M29" s="39">
        <v>8.6</v>
      </c>
      <c r="N29" s="39">
        <v>0.35</v>
      </c>
      <c r="O29" s="39">
        <v>4.27</v>
      </c>
      <c r="P29" s="52" t="s">
        <v>38</v>
      </c>
      <c r="Q29" s="52">
        <v>30</v>
      </c>
      <c r="R29" s="52" t="s">
        <v>41</v>
      </c>
      <c r="S29" s="54">
        <v>100</v>
      </c>
    </row>
    <row r="30" ht="17.4" spans="1:19">
      <c r="A30" s="46" t="s">
        <v>50</v>
      </c>
      <c r="B30" s="47">
        <v>1.5</v>
      </c>
      <c r="C30" s="47">
        <f t="shared" si="2"/>
        <v>1.8</v>
      </c>
      <c r="D30" s="47">
        <v>39.2</v>
      </c>
      <c r="E30" s="47">
        <v>0.8</v>
      </c>
      <c r="F30" s="40">
        <v>0.1</v>
      </c>
      <c r="G30" s="47">
        <f t="shared" si="3"/>
        <v>2.32</v>
      </c>
      <c r="H30" s="47">
        <v>1</v>
      </c>
      <c r="I30" s="47">
        <v>0.3</v>
      </c>
      <c r="J30" s="47">
        <v>3.4</v>
      </c>
      <c r="K30" s="47">
        <v>0.3</v>
      </c>
      <c r="L30" s="47">
        <f t="shared" si="4"/>
        <v>0.36</v>
      </c>
      <c r="M30" s="39">
        <v>8.6</v>
      </c>
      <c r="N30" s="39">
        <v>0.35</v>
      </c>
      <c r="O30" s="39">
        <v>4.27</v>
      </c>
      <c r="P30" s="52" t="s">
        <v>38</v>
      </c>
      <c r="Q30" s="52">
        <v>30</v>
      </c>
      <c r="R30" s="52" t="s">
        <v>41</v>
      </c>
      <c r="S30" s="54">
        <v>100</v>
      </c>
    </row>
    <row r="31" ht="17.4" spans="1:19">
      <c r="A31" s="46" t="s">
        <v>51</v>
      </c>
      <c r="B31" s="47">
        <v>1.5</v>
      </c>
      <c r="C31" s="47">
        <f t="shared" si="2"/>
        <v>1.8</v>
      </c>
      <c r="D31" s="47">
        <v>39.2</v>
      </c>
      <c r="E31" s="47">
        <v>0.8</v>
      </c>
      <c r="F31" s="40">
        <v>0.1</v>
      </c>
      <c r="G31" s="47">
        <f t="shared" si="3"/>
        <v>2.32</v>
      </c>
      <c r="H31" s="47">
        <v>1</v>
      </c>
      <c r="I31" s="47">
        <v>0.3</v>
      </c>
      <c r="J31" s="47">
        <v>3.4</v>
      </c>
      <c r="K31" s="47">
        <v>0.3</v>
      </c>
      <c r="L31" s="47">
        <f t="shared" si="4"/>
        <v>0.36</v>
      </c>
      <c r="M31" s="39">
        <v>10.8</v>
      </c>
      <c r="N31" s="51">
        <v>0.5</v>
      </c>
      <c r="O31" s="51">
        <v>6.1</v>
      </c>
      <c r="P31" s="52" t="s">
        <v>38</v>
      </c>
      <c r="Q31" s="52">
        <v>30</v>
      </c>
      <c r="R31" s="52" t="s">
        <v>39</v>
      </c>
      <c r="S31" s="54">
        <v>200</v>
      </c>
    </row>
    <row r="32" ht="17.4" spans="1:19">
      <c r="A32" s="46" t="s">
        <v>52</v>
      </c>
      <c r="B32" s="47">
        <v>1.3</v>
      </c>
      <c r="C32" s="47">
        <f t="shared" si="2"/>
        <v>1.56</v>
      </c>
      <c r="D32" s="47">
        <v>30.6</v>
      </c>
      <c r="E32" s="47">
        <v>0.3</v>
      </c>
      <c r="F32" s="40">
        <v>0.1</v>
      </c>
      <c r="G32" s="47">
        <f t="shared" si="3"/>
        <v>1.176</v>
      </c>
      <c r="H32" s="47">
        <v>0.9</v>
      </c>
      <c r="I32" s="47">
        <v>0.16</v>
      </c>
      <c r="J32" s="47">
        <v>3</v>
      </c>
      <c r="K32" s="47">
        <v>0.24</v>
      </c>
      <c r="L32" s="47">
        <f t="shared" si="4"/>
        <v>0.288</v>
      </c>
      <c r="M32" s="39">
        <v>8.6</v>
      </c>
      <c r="N32" s="39">
        <v>0.35</v>
      </c>
      <c r="O32" s="39">
        <v>4.27</v>
      </c>
      <c r="P32" s="52" t="s">
        <v>38</v>
      </c>
      <c r="Q32" s="52">
        <v>30</v>
      </c>
      <c r="R32" s="52" t="s">
        <v>41</v>
      </c>
      <c r="S32" s="54">
        <v>100</v>
      </c>
    </row>
    <row r="33" ht="17.4" spans="1:19">
      <c r="A33" s="46" t="s">
        <v>53</v>
      </c>
      <c r="B33" s="47">
        <v>1.3</v>
      </c>
      <c r="C33" s="47">
        <f t="shared" si="2"/>
        <v>1.56</v>
      </c>
      <c r="D33" s="47">
        <v>30.6</v>
      </c>
      <c r="E33" s="47">
        <v>0.3</v>
      </c>
      <c r="F33" s="40">
        <v>0.1</v>
      </c>
      <c r="G33" s="47">
        <f t="shared" ref="G33:G39" si="5">(E33+L33)*2</f>
        <v>1.176</v>
      </c>
      <c r="H33" s="47">
        <v>0.9</v>
      </c>
      <c r="I33" s="47">
        <v>0.16</v>
      </c>
      <c r="J33" s="47">
        <v>3</v>
      </c>
      <c r="K33" s="47">
        <v>0.24</v>
      </c>
      <c r="L33" s="47">
        <f t="shared" si="4"/>
        <v>0.288</v>
      </c>
      <c r="M33" s="39">
        <v>10.8</v>
      </c>
      <c r="N33" s="51">
        <v>0.5</v>
      </c>
      <c r="O33" s="51">
        <v>6.1</v>
      </c>
      <c r="P33" s="52" t="s">
        <v>38</v>
      </c>
      <c r="Q33" s="52">
        <v>30</v>
      </c>
      <c r="R33" s="52" t="s">
        <v>39</v>
      </c>
      <c r="S33" s="54">
        <v>200</v>
      </c>
    </row>
    <row r="34" ht="17.4" spans="1:19">
      <c r="A34" s="48" t="s">
        <v>54</v>
      </c>
      <c r="B34" s="47">
        <v>1.3</v>
      </c>
      <c r="C34" s="47">
        <f t="shared" si="2"/>
        <v>1.56</v>
      </c>
      <c r="D34" s="47">
        <v>30.6</v>
      </c>
      <c r="E34" s="47">
        <v>0.3</v>
      </c>
      <c r="F34" s="40">
        <v>0.1</v>
      </c>
      <c r="G34" s="47">
        <f t="shared" si="5"/>
        <v>1.176</v>
      </c>
      <c r="H34" s="47">
        <v>0.9</v>
      </c>
      <c r="I34" s="47">
        <v>0.16</v>
      </c>
      <c r="J34" s="47">
        <v>3</v>
      </c>
      <c r="K34" s="47">
        <v>0.24</v>
      </c>
      <c r="L34" s="47">
        <f t="shared" si="4"/>
        <v>0.288</v>
      </c>
      <c r="M34" s="39">
        <v>8.6</v>
      </c>
      <c r="N34" s="39">
        <v>0.35</v>
      </c>
      <c r="O34" s="39">
        <v>4.27</v>
      </c>
      <c r="P34" s="52" t="s">
        <v>38</v>
      </c>
      <c r="Q34" s="52">
        <v>30</v>
      </c>
      <c r="R34" s="52" t="s">
        <v>41</v>
      </c>
      <c r="S34" s="54">
        <v>100</v>
      </c>
    </row>
    <row r="35" ht="17.4" spans="1:19">
      <c r="A35" s="48" t="s">
        <v>55</v>
      </c>
      <c r="B35" s="47">
        <v>1.3</v>
      </c>
      <c r="C35" s="47">
        <f t="shared" si="2"/>
        <v>1.56</v>
      </c>
      <c r="D35" s="47">
        <v>30.6</v>
      </c>
      <c r="E35" s="47">
        <v>0.3</v>
      </c>
      <c r="F35" s="40">
        <v>0.1</v>
      </c>
      <c r="G35" s="47">
        <f t="shared" si="5"/>
        <v>1.176</v>
      </c>
      <c r="H35" s="47">
        <v>0.9</v>
      </c>
      <c r="I35" s="47">
        <v>0.16</v>
      </c>
      <c r="J35" s="47">
        <v>3</v>
      </c>
      <c r="K35" s="47">
        <v>0.24</v>
      </c>
      <c r="L35" s="47">
        <f t="shared" si="4"/>
        <v>0.288</v>
      </c>
      <c r="M35" s="39">
        <v>8.6</v>
      </c>
      <c r="N35" s="39">
        <v>0.35</v>
      </c>
      <c r="O35" s="39">
        <v>4.27</v>
      </c>
      <c r="P35" s="52" t="s">
        <v>38</v>
      </c>
      <c r="Q35" s="52">
        <v>30</v>
      </c>
      <c r="R35" s="52" t="s">
        <v>41</v>
      </c>
      <c r="S35" s="54">
        <v>100</v>
      </c>
    </row>
    <row r="36" ht="17.4" spans="1:19">
      <c r="A36" s="46" t="s">
        <v>56</v>
      </c>
      <c r="B36" s="47">
        <v>1.02</v>
      </c>
      <c r="C36" s="47">
        <f t="shared" ref="C36:C60" si="6">B36/0.75*0.9</f>
        <v>1.224</v>
      </c>
      <c r="D36" s="47">
        <v>24.4</v>
      </c>
      <c r="E36" s="47">
        <v>0.3</v>
      </c>
      <c r="F36" s="40">
        <v>0.1</v>
      </c>
      <c r="G36" s="47">
        <f t="shared" si="5"/>
        <v>1.176</v>
      </c>
      <c r="H36" s="47">
        <v>0.9</v>
      </c>
      <c r="I36" s="47">
        <v>0.16</v>
      </c>
      <c r="J36" s="47">
        <v>2.8</v>
      </c>
      <c r="K36" s="47">
        <v>0.24</v>
      </c>
      <c r="L36" s="47">
        <f t="shared" si="4"/>
        <v>0.288</v>
      </c>
      <c r="M36" s="39">
        <v>8.6</v>
      </c>
      <c r="N36" s="39">
        <v>0.35</v>
      </c>
      <c r="O36" s="39">
        <v>4.27</v>
      </c>
      <c r="P36" s="52" t="s">
        <v>38</v>
      </c>
      <c r="Q36" s="52">
        <v>30</v>
      </c>
      <c r="R36" s="52" t="s">
        <v>41</v>
      </c>
      <c r="S36" s="54">
        <v>100</v>
      </c>
    </row>
    <row r="37" ht="17.4" spans="1:19">
      <c r="A37" s="46" t="s">
        <v>57</v>
      </c>
      <c r="B37" s="47">
        <v>1.02</v>
      </c>
      <c r="C37" s="47">
        <f t="shared" si="6"/>
        <v>1.224</v>
      </c>
      <c r="D37" s="47">
        <v>24.4</v>
      </c>
      <c r="E37" s="47">
        <v>0.3</v>
      </c>
      <c r="F37" s="40">
        <v>0.1</v>
      </c>
      <c r="G37" s="47">
        <f t="shared" si="5"/>
        <v>1.176</v>
      </c>
      <c r="H37" s="47">
        <v>0.9</v>
      </c>
      <c r="I37" s="47">
        <v>0.16</v>
      </c>
      <c r="J37" s="47">
        <v>2.8</v>
      </c>
      <c r="K37" s="47">
        <v>0.24</v>
      </c>
      <c r="L37" s="47">
        <f t="shared" si="4"/>
        <v>0.288</v>
      </c>
      <c r="M37" s="39">
        <v>10.8</v>
      </c>
      <c r="N37" s="51">
        <v>0.5</v>
      </c>
      <c r="O37" s="51">
        <v>6.1</v>
      </c>
      <c r="P37" s="52" t="s">
        <v>38</v>
      </c>
      <c r="Q37" s="52">
        <v>30</v>
      </c>
      <c r="R37" s="52" t="s">
        <v>39</v>
      </c>
      <c r="S37" s="54">
        <v>200</v>
      </c>
    </row>
    <row r="38" ht="17.4" spans="1:19">
      <c r="A38" s="46" t="s">
        <v>58</v>
      </c>
      <c r="B38" s="47">
        <v>1.02</v>
      </c>
      <c r="C38" s="47">
        <f t="shared" si="6"/>
        <v>1.224</v>
      </c>
      <c r="D38" s="47">
        <v>24.4</v>
      </c>
      <c r="E38" s="47">
        <v>0.3</v>
      </c>
      <c r="F38" s="40">
        <v>0.1</v>
      </c>
      <c r="G38" s="47">
        <f t="shared" si="5"/>
        <v>1.176</v>
      </c>
      <c r="H38" s="47">
        <v>0.9</v>
      </c>
      <c r="I38" s="47">
        <v>0.16</v>
      </c>
      <c r="J38" s="47">
        <v>2.8</v>
      </c>
      <c r="K38" s="47">
        <v>0.24</v>
      </c>
      <c r="L38" s="47">
        <f t="shared" si="4"/>
        <v>0.288</v>
      </c>
      <c r="M38" s="39">
        <v>8.6</v>
      </c>
      <c r="N38" s="39">
        <v>0.35</v>
      </c>
      <c r="O38" s="39">
        <v>4.27</v>
      </c>
      <c r="P38" s="52" t="s">
        <v>38</v>
      </c>
      <c r="Q38" s="52">
        <v>30</v>
      </c>
      <c r="R38" s="52" t="s">
        <v>41</v>
      </c>
      <c r="S38" s="54">
        <v>100</v>
      </c>
    </row>
    <row r="39" ht="17.4" spans="1:19">
      <c r="A39" s="46" t="s">
        <v>59</v>
      </c>
      <c r="B39" s="47">
        <v>1.02</v>
      </c>
      <c r="C39" s="47">
        <f t="shared" si="6"/>
        <v>1.224</v>
      </c>
      <c r="D39" s="47">
        <v>24.4</v>
      </c>
      <c r="E39" s="47">
        <v>0.3</v>
      </c>
      <c r="F39" s="40">
        <v>0.1</v>
      </c>
      <c r="G39" s="47">
        <f t="shared" si="5"/>
        <v>1.176</v>
      </c>
      <c r="H39" s="47">
        <v>0.9</v>
      </c>
      <c r="I39" s="47">
        <v>0.16</v>
      </c>
      <c r="J39" s="47">
        <v>2.8</v>
      </c>
      <c r="K39" s="47">
        <v>0.24</v>
      </c>
      <c r="L39" s="47">
        <f t="shared" si="4"/>
        <v>0.288</v>
      </c>
      <c r="M39" s="39">
        <v>10.8</v>
      </c>
      <c r="N39" s="51">
        <v>0.5</v>
      </c>
      <c r="O39" s="51">
        <v>6.1</v>
      </c>
      <c r="P39" s="52" t="s">
        <v>38</v>
      </c>
      <c r="Q39" s="52">
        <v>30</v>
      </c>
      <c r="R39" s="52" t="s">
        <v>39</v>
      </c>
      <c r="S39" s="54">
        <v>200</v>
      </c>
    </row>
    <row r="40" ht="17.4" spans="1:19">
      <c r="A40" s="46" t="s">
        <v>60</v>
      </c>
      <c r="B40" s="47">
        <v>0.81</v>
      </c>
      <c r="C40" s="47">
        <f t="shared" si="6"/>
        <v>0.972</v>
      </c>
      <c r="D40" s="47">
        <v>18.3</v>
      </c>
      <c r="E40" s="47">
        <v>0.26</v>
      </c>
      <c r="F40" s="40">
        <v>0.1</v>
      </c>
      <c r="G40" s="47">
        <f t="shared" ref="G40:G49" si="7">(E40+L40)*2</f>
        <v>1</v>
      </c>
      <c r="H40" s="47">
        <v>0.6</v>
      </c>
      <c r="I40" s="47">
        <v>0.16</v>
      </c>
      <c r="J40" s="47">
        <v>2.4</v>
      </c>
      <c r="K40" s="47">
        <v>0.2</v>
      </c>
      <c r="L40" s="47">
        <f t="shared" si="4"/>
        <v>0.24</v>
      </c>
      <c r="M40" s="39">
        <v>8.6</v>
      </c>
      <c r="N40" s="39">
        <v>0.35</v>
      </c>
      <c r="O40" s="39">
        <v>4.27</v>
      </c>
      <c r="P40" s="52" t="s">
        <v>38</v>
      </c>
      <c r="Q40" s="52">
        <v>30</v>
      </c>
      <c r="R40" s="52" t="s">
        <v>41</v>
      </c>
      <c r="S40" s="54">
        <v>100</v>
      </c>
    </row>
    <row r="41" ht="17.4" spans="1:19">
      <c r="A41" s="46" t="s">
        <v>61</v>
      </c>
      <c r="B41" s="47">
        <v>0.81</v>
      </c>
      <c r="C41" s="47">
        <f t="shared" si="6"/>
        <v>0.972</v>
      </c>
      <c r="D41" s="47">
        <v>18.3</v>
      </c>
      <c r="E41" s="47">
        <v>0.26</v>
      </c>
      <c r="F41" s="40">
        <v>0.1</v>
      </c>
      <c r="G41" s="47">
        <f t="shared" si="7"/>
        <v>1</v>
      </c>
      <c r="H41" s="47">
        <v>0.6</v>
      </c>
      <c r="I41" s="47">
        <v>0.16</v>
      </c>
      <c r="J41" s="47">
        <v>2.4</v>
      </c>
      <c r="K41" s="47">
        <v>0.2</v>
      </c>
      <c r="L41" s="47">
        <f t="shared" si="4"/>
        <v>0.24</v>
      </c>
      <c r="M41" s="39">
        <v>8.6</v>
      </c>
      <c r="N41" s="39">
        <v>0.35</v>
      </c>
      <c r="O41" s="39">
        <v>4.27</v>
      </c>
      <c r="P41" s="52" t="s">
        <v>38</v>
      </c>
      <c r="Q41" s="52">
        <v>30</v>
      </c>
      <c r="R41" s="52" t="s">
        <v>41</v>
      </c>
      <c r="S41" s="54">
        <v>100</v>
      </c>
    </row>
    <row r="42" ht="17.4" spans="1:19">
      <c r="A42" s="46" t="s">
        <v>62</v>
      </c>
      <c r="B42" s="47">
        <v>0.57</v>
      </c>
      <c r="C42" s="47">
        <f t="shared" si="6"/>
        <v>0.684</v>
      </c>
      <c r="D42" s="47">
        <v>12.2</v>
      </c>
      <c r="E42" s="47">
        <v>0.26</v>
      </c>
      <c r="F42" s="40">
        <v>0.1</v>
      </c>
      <c r="G42" s="47">
        <f t="shared" si="7"/>
        <v>1</v>
      </c>
      <c r="H42" s="47">
        <v>0.6</v>
      </c>
      <c r="I42" s="47">
        <v>0.16</v>
      </c>
      <c r="J42" s="47">
        <v>2.1</v>
      </c>
      <c r="K42" s="47">
        <v>0.2</v>
      </c>
      <c r="L42" s="47">
        <f t="shared" si="4"/>
        <v>0.24</v>
      </c>
      <c r="M42" s="39">
        <v>8.6</v>
      </c>
      <c r="N42" s="39">
        <v>0.35</v>
      </c>
      <c r="O42" s="39">
        <v>4.27</v>
      </c>
      <c r="P42" s="52" t="s">
        <v>38</v>
      </c>
      <c r="Q42" s="52">
        <v>30</v>
      </c>
      <c r="R42" s="52" t="s">
        <v>41</v>
      </c>
      <c r="S42" s="54">
        <v>100</v>
      </c>
    </row>
    <row r="43" ht="17.4" spans="1:19">
      <c r="A43" s="46" t="s">
        <v>63</v>
      </c>
      <c r="B43" s="47">
        <v>0.57</v>
      </c>
      <c r="C43" s="47">
        <f t="shared" si="6"/>
        <v>0.684</v>
      </c>
      <c r="D43" s="47">
        <v>12.2</v>
      </c>
      <c r="E43" s="47">
        <v>0.26</v>
      </c>
      <c r="F43" s="40">
        <v>0.1</v>
      </c>
      <c r="G43" s="47">
        <f t="shared" si="7"/>
        <v>1</v>
      </c>
      <c r="H43" s="47">
        <v>0.6</v>
      </c>
      <c r="I43" s="47">
        <v>0.16</v>
      </c>
      <c r="J43" s="47">
        <v>2.1</v>
      </c>
      <c r="K43" s="47">
        <v>0.2</v>
      </c>
      <c r="L43" s="47">
        <f t="shared" si="4"/>
        <v>0.24</v>
      </c>
      <c r="M43" s="39">
        <v>10.8</v>
      </c>
      <c r="N43" s="51">
        <v>0.5</v>
      </c>
      <c r="O43" s="51">
        <v>6.1</v>
      </c>
      <c r="P43" s="52" t="s">
        <v>38</v>
      </c>
      <c r="Q43" s="52">
        <v>30</v>
      </c>
      <c r="R43" s="52" t="s">
        <v>39</v>
      </c>
      <c r="S43" s="54">
        <v>200</v>
      </c>
    </row>
    <row r="44" ht="17.4" spans="1:19">
      <c r="A44" s="46" t="s">
        <v>64</v>
      </c>
      <c r="B44" s="47">
        <v>0.57</v>
      </c>
      <c r="C44" s="47">
        <f t="shared" si="6"/>
        <v>0.684</v>
      </c>
      <c r="D44" s="47">
        <v>12.2</v>
      </c>
      <c r="E44" s="47">
        <v>0.26</v>
      </c>
      <c r="F44" s="40">
        <v>0.1</v>
      </c>
      <c r="G44" s="47">
        <f t="shared" si="7"/>
        <v>1</v>
      </c>
      <c r="H44" s="47">
        <v>0.6</v>
      </c>
      <c r="I44" s="47">
        <v>0.16</v>
      </c>
      <c r="J44" s="47">
        <v>2.1</v>
      </c>
      <c r="K44" s="47">
        <v>0.2</v>
      </c>
      <c r="L44" s="47">
        <f t="shared" si="4"/>
        <v>0.24</v>
      </c>
      <c r="M44" s="39">
        <v>8.6</v>
      </c>
      <c r="N44" s="39">
        <v>0.35</v>
      </c>
      <c r="O44" s="39">
        <v>4.27</v>
      </c>
      <c r="P44" s="52" t="s">
        <v>38</v>
      </c>
      <c r="Q44" s="52">
        <v>30</v>
      </c>
      <c r="R44" s="52" t="s">
        <v>41</v>
      </c>
      <c r="S44" s="54">
        <v>100</v>
      </c>
    </row>
    <row r="45" ht="17.4" spans="1:19">
      <c r="A45" s="46" t="s">
        <v>65</v>
      </c>
      <c r="B45" s="47">
        <v>0.42</v>
      </c>
      <c r="C45" s="47">
        <f t="shared" si="6"/>
        <v>0.504</v>
      </c>
      <c r="D45" s="47">
        <v>9.15</v>
      </c>
      <c r="E45" s="47">
        <v>0.26</v>
      </c>
      <c r="F45" s="40">
        <v>0.1</v>
      </c>
      <c r="G45" s="47">
        <f t="shared" si="7"/>
        <v>1</v>
      </c>
      <c r="H45" s="47">
        <v>0.6</v>
      </c>
      <c r="I45" s="47">
        <v>0.16</v>
      </c>
      <c r="J45" s="47">
        <v>1.9</v>
      </c>
      <c r="K45" s="47">
        <v>0.2</v>
      </c>
      <c r="L45" s="47">
        <f t="shared" si="4"/>
        <v>0.24</v>
      </c>
      <c r="M45" s="39">
        <v>10.8</v>
      </c>
      <c r="N45" s="51">
        <v>0.5</v>
      </c>
      <c r="O45" s="51">
        <v>6.1</v>
      </c>
      <c r="P45" s="52" t="s">
        <v>38</v>
      </c>
      <c r="Q45" s="52">
        <v>30</v>
      </c>
      <c r="R45" s="52" t="s">
        <v>39</v>
      </c>
      <c r="S45" s="54">
        <v>200</v>
      </c>
    </row>
    <row r="46" ht="17.4" spans="1:19">
      <c r="A46" s="46" t="s">
        <v>66</v>
      </c>
      <c r="B46" s="47">
        <v>0.42</v>
      </c>
      <c r="C46" s="47">
        <f t="shared" si="6"/>
        <v>0.504</v>
      </c>
      <c r="D46" s="47">
        <v>9.15</v>
      </c>
      <c r="E46" s="47">
        <v>0.26</v>
      </c>
      <c r="F46" s="40">
        <v>0.1</v>
      </c>
      <c r="G46" s="47">
        <f t="shared" si="7"/>
        <v>1</v>
      </c>
      <c r="H46" s="47">
        <v>0.6</v>
      </c>
      <c r="I46" s="47">
        <v>0.16</v>
      </c>
      <c r="J46" s="47">
        <v>1.9</v>
      </c>
      <c r="K46" s="47">
        <v>0.2</v>
      </c>
      <c r="L46" s="47">
        <f t="shared" si="4"/>
        <v>0.24</v>
      </c>
      <c r="M46" s="39">
        <v>8.6</v>
      </c>
      <c r="N46" s="39">
        <v>0.35</v>
      </c>
      <c r="O46" s="39">
        <v>4.27</v>
      </c>
      <c r="P46" s="52" t="s">
        <v>38</v>
      </c>
      <c r="Q46" s="52">
        <v>30</v>
      </c>
      <c r="R46" s="52" t="s">
        <v>41</v>
      </c>
      <c r="S46" s="54">
        <v>100</v>
      </c>
    </row>
    <row r="47" ht="17.4" spans="1:19">
      <c r="A47" s="46" t="s">
        <v>67</v>
      </c>
      <c r="B47" s="47">
        <v>0.42</v>
      </c>
      <c r="C47" s="47">
        <f t="shared" si="6"/>
        <v>0.504</v>
      </c>
      <c r="D47" s="47">
        <v>9.15</v>
      </c>
      <c r="E47" s="47">
        <v>0.26</v>
      </c>
      <c r="F47" s="40">
        <v>0.1</v>
      </c>
      <c r="G47" s="47">
        <f t="shared" si="7"/>
        <v>1</v>
      </c>
      <c r="H47" s="47">
        <v>0.6</v>
      </c>
      <c r="I47" s="47">
        <v>0.16</v>
      </c>
      <c r="J47" s="47">
        <v>1.9</v>
      </c>
      <c r="K47" s="47">
        <v>0.2</v>
      </c>
      <c r="L47" s="47">
        <f t="shared" si="4"/>
        <v>0.24</v>
      </c>
      <c r="M47" s="39">
        <v>8.6</v>
      </c>
      <c r="N47" s="39">
        <v>0.35</v>
      </c>
      <c r="O47" s="39">
        <v>4.27</v>
      </c>
      <c r="P47" s="52" t="s">
        <v>38</v>
      </c>
      <c r="Q47" s="52">
        <v>30</v>
      </c>
      <c r="R47" s="52" t="s">
        <v>41</v>
      </c>
      <c r="S47" s="54">
        <v>100</v>
      </c>
    </row>
    <row r="48" ht="17.4" spans="1:19">
      <c r="A48" s="46" t="s">
        <v>68</v>
      </c>
      <c r="B48" s="47">
        <v>0.42</v>
      </c>
      <c r="C48" s="47">
        <f t="shared" si="6"/>
        <v>0.504</v>
      </c>
      <c r="D48" s="47">
        <v>9.15</v>
      </c>
      <c r="E48" s="47">
        <v>0.13</v>
      </c>
      <c r="F48" s="40">
        <v>0.1</v>
      </c>
      <c r="G48" s="47">
        <f t="shared" si="7"/>
        <v>0.74</v>
      </c>
      <c r="H48" s="47">
        <v>0.6</v>
      </c>
      <c r="I48" s="47">
        <v>0.16</v>
      </c>
      <c r="J48" s="47">
        <v>1.9</v>
      </c>
      <c r="K48" s="47">
        <v>0.2</v>
      </c>
      <c r="L48" s="47">
        <f t="shared" si="4"/>
        <v>0.24</v>
      </c>
      <c r="M48" s="39">
        <v>8.6</v>
      </c>
      <c r="N48" s="39">
        <v>0.35</v>
      </c>
      <c r="O48" s="39">
        <v>4.27</v>
      </c>
      <c r="P48" s="52" t="s">
        <v>38</v>
      </c>
      <c r="Q48" s="52">
        <v>30</v>
      </c>
      <c r="R48" s="52" t="s">
        <v>41</v>
      </c>
      <c r="S48" s="54">
        <v>100</v>
      </c>
    </row>
    <row r="49" ht="17.4" spans="1:19">
      <c r="A49" s="46" t="s">
        <v>69</v>
      </c>
      <c r="B49" s="47">
        <v>0.28</v>
      </c>
      <c r="C49" s="47">
        <f t="shared" si="6"/>
        <v>0.336</v>
      </c>
      <c r="D49" s="47">
        <v>6.1</v>
      </c>
      <c r="E49" s="47">
        <v>0.13</v>
      </c>
      <c r="F49" s="40">
        <v>0.1</v>
      </c>
      <c r="G49" s="47">
        <f t="shared" ref="G49:G60" si="8">(E49+L49)*2</f>
        <v>0.572</v>
      </c>
      <c r="H49" s="47">
        <v>0.2</v>
      </c>
      <c r="I49" s="47">
        <v>0.16</v>
      </c>
      <c r="J49" s="47">
        <v>1.6</v>
      </c>
      <c r="K49" s="47">
        <v>0.13</v>
      </c>
      <c r="L49" s="47">
        <f t="shared" si="4"/>
        <v>0.156</v>
      </c>
      <c r="M49" s="39">
        <v>10.8</v>
      </c>
      <c r="N49" s="51">
        <v>0.5</v>
      </c>
      <c r="O49" s="51">
        <v>6.1</v>
      </c>
      <c r="P49" s="52" t="s">
        <v>38</v>
      </c>
      <c r="Q49" s="52">
        <v>30</v>
      </c>
      <c r="R49" s="52" t="s">
        <v>39</v>
      </c>
      <c r="S49" s="54">
        <v>200</v>
      </c>
    </row>
    <row r="50" ht="17.4" spans="1:19">
      <c r="A50" s="46" t="s">
        <v>70</v>
      </c>
      <c r="B50" s="47">
        <v>0.28</v>
      </c>
      <c r="C50" s="47">
        <f t="shared" si="6"/>
        <v>0.336</v>
      </c>
      <c r="D50" s="47">
        <v>6.1</v>
      </c>
      <c r="E50" s="47">
        <v>0.13</v>
      </c>
      <c r="F50" s="40">
        <v>0.1</v>
      </c>
      <c r="G50" s="47">
        <f t="shared" si="8"/>
        <v>0.572</v>
      </c>
      <c r="H50" s="47">
        <v>0.2</v>
      </c>
      <c r="I50" s="47">
        <v>0.12</v>
      </c>
      <c r="J50" s="47">
        <v>1.6</v>
      </c>
      <c r="K50" s="47">
        <v>0.13</v>
      </c>
      <c r="L50" s="47">
        <f t="shared" si="4"/>
        <v>0.156</v>
      </c>
      <c r="M50" s="39">
        <v>8.6</v>
      </c>
      <c r="N50" s="39">
        <v>0.35</v>
      </c>
      <c r="O50" s="39">
        <v>4.27</v>
      </c>
      <c r="P50" s="52" t="s">
        <v>38</v>
      </c>
      <c r="Q50" s="52">
        <v>30</v>
      </c>
      <c r="R50" s="52" t="s">
        <v>41</v>
      </c>
      <c r="S50" s="54">
        <v>100</v>
      </c>
    </row>
    <row r="51" ht="17.4" spans="1:19">
      <c r="A51" s="46" t="s">
        <v>71</v>
      </c>
      <c r="B51" s="47">
        <v>0.28</v>
      </c>
      <c r="C51" s="47">
        <f t="shared" si="6"/>
        <v>0.336</v>
      </c>
      <c r="D51" s="47">
        <v>6.1</v>
      </c>
      <c r="E51" s="47">
        <v>0.13</v>
      </c>
      <c r="F51" s="40">
        <v>0.1</v>
      </c>
      <c r="G51" s="47">
        <f t="shared" si="8"/>
        <v>0.572</v>
      </c>
      <c r="H51" s="47">
        <v>0.2</v>
      </c>
      <c r="I51" s="47">
        <v>0.12</v>
      </c>
      <c r="J51" s="47">
        <v>1.6</v>
      </c>
      <c r="K51" s="47">
        <v>0.13</v>
      </c>
      <c r="L51" s="47">
        <f t="shared" si="4"/>
        <v>0.156</v>
      </c>
      <c r="M51" s="39">
        <v>10.8</v>
      </c>
      <c r="N51" s="51">
        <v>0.5</v>
      </c>
      <c r="O51" s="51">
        <v>6.1</v>
      </c>
      <c r="P51" s="52" t="s">
        <v>38</v>
      </c>
      <c r="Q51" s="52">
        <v>30</v>
      </c>
      <c r="R51" s="52" t="s">
        <v>39</v>
      </c>
      <c r="S51" s="54">
        <v>200</v>
      </c>
    </row>
    <row r="52" ht="17.4" spans="1:19">
      <c r="A52" s="46" t="s">
        <v>72</v>
      </c>
      <c r="B52" s="47">
        <v>0.28</v>
      </c>
      <c r="C52" s="47">
        <f t="shared" si="6"/>
        <v>0.336</v>
      </c>
      <c r="D52" s="47">
        <v>6.1</v>
      </c>
      <c r="E52" s="47">
        <v>0.13</v>
      </c>
      <c r="F52" s="40">
        <v>0.1</v>
      </c>
      <c r="G52" s="47">
        <f t="shared" si="8"/>
        <v>0.572</v>
      </c>
      <c r="H52" s="47">
        <v>0.2</v>
      </c>
      <c r="I52" s="47">
        <v>0.12</v>
      </c>
      <c r="J52" s="47">
        <v>1.6</v>
      </c>
      <c r="K52" s="47">
        <v>0.13</v>
      </c>
      <c r="L52" s="47">
        <f t="shared" si="4"/>
        <v>0.156</v>
      </c>
      <c r="M52" s="39">
        <v>8.6</v>
      </c>
      <c r="N52" s="39">
        <v>0.35</v>
      </c>
      <c r="O52" s="39">
        <v>4.27</v>
      </c>
      <c r="P52" s="52" t="s">
        <v>38</v>
      </c>
      <c r="Q52" s="52">
        <v>30</v>
      </c>
      <c r="R52" s="52" t="s">
        <v>41</v>
      </c>
      <c r="S52" s="54">
        <v>100</v>
      </c>
    </row>
    <row r="53" ht="17.4" spans="1:19">
      <c r="A53" s="46" t="s">
        <v>73</v>
      </c>
      <c r="B53" s="47">
        <v>0.28</v>
      </c>
      <c r="C53" s="47">
        <f t="shared" si="6"/>
        <v>0.336</v>
      </c>
      <c r="D53" s="47">
        <v>6.1</v>
      </c>
      <c r="E53" s="47">
        <v>0.13</v>
      </c>
      <c r="F53" s="40">
        <v>0.1</v>
      </c>
      <c r="G53" s="47">
        <f t="shared" si="8"/>
        <v>0.572</v>
      </c>
      <c r="H53" s="47">
        <v>0.2</v>
      </c>
      <c r="I53" s="47">
        <v>0.12</v>
      </c>
      <c r="J53" s="47">
        <v>1.6</v>
      </c>
      <c r="K53" s="47">
        <v>0.13</v>
      </c>
      <c r="L53" s="47">
        <f t="shared" ref="L53:L69" si="9">K53/0.75*0.9</f>
        <v>0.156</v>
      </c>
      <c r="M53" s="39">
        <v>8.6</v>
      </c>
      <c r="N53" s="39">
        <v>0.35</v>
      </c>
      <c r="O53" s="39">
        <v>4.27</v>
      </c>
      <c r="P53" s="52" t="s">
        <v>38</v>
      </c>
      <c r="Q53" s="52">
        <v>30</v>
      </c>
      <c r="R53" s="52" t="s">
        <v>41</v>
      </c>
      <c r="S53" s="54">
        <v>100</v>
      </c>
    </row>
    <row r="54" ht="17.4" spans="1:19">
      <c r="A54" s="46" t="s">
        <v>74</v>
      </c>
      <c r="B54" s="47">
        <v>0.22</v>
      </c>
      <c r="C54" s="47">
        <f t="shared" si="6"/>
        <v>0.264</v>
      </c>
      <c r="D54" s="47">
        <v>4.27</v>
      </c>
      <c r="E54" s="47">
        <v>0.13</v>
      </c>
      <c r="F54" s="40">
        <v>0.1</v>
      </c>
      <c r="G54" s="47">
        <f t="shared" si="8"/>
        <v>0.572</v>
      </c>
      <c r="H54" s="47">
        <v>0.2</v>
      </c>
      <c r="I54" s="47">
        <v>0.12</v>
      </c>
      <c r="J54" s="47">
        <v>1.4</v>
      </c>
      <c r="K54" s="47">
        <v>0.13</v>
      </c>
      <c r="L54" s="47">
        <f t="shared" si="9"/>
        <v>0.156</v>
      </c>
      <c r="M54" s="39">
        <v>8.6</v>
      </c>
      <c r="N54" s="39">
        <v>0.35</v>
      </c>
      <c r="O54" s="39">
        <v>4.27</v>
      </c>
      <c r="P54" s="52" t="s">
        <v>38</v>
      </c>
      <c r="Q54" s="52">
        <v>30</v>
      </c>
      <c r="R54" s="52" t="s">
        <v>41</v>
      </c>
      <c r="S54" s="54">
        <v>100</v>
      </c>
    </row>
    <row r="55" ht="17.4" spans="1:19">
      <c r="A55" s="46" t="s">
        <v>75</v>
      </c>
      <c r="B55" s="47">
        <v>0.22</v>
      </c>
      <c r="C55" s="47">
        <f t="shared" si="6"/>
        <v>0.264</v>
      </c>
      <c r="D55" s="47">
        <v>4.27</v>
      </c>
      <c r="E55" s="47">
        <v>0.13</v>
      </c>
      <c r="F55" s="40">
        <v>0.1</v>
      </c>
      <c r="G55" s="47">
        <f t="shared" si="8"/>
        <v>0.572</v>
      </c>
      <c r="H55" s="47">
        <v>0.2</v>
      </c>
      <c r="I55" s="47">
        <v>0.12</v>
      </c>
      <c r="J55" s="47">
        <v>1.4</v>
      </c>
      <c r="K55" s="47">
        <v>0.13</v>
      </c>
      <c r="L55" s="47">
        <f t="shared" si="9"/>
        <v>0.156</v>
      </c>
      <c r="M55" s="39">
        <v>8.6</v>
      </c>
      <c r="N55" s="39">
        <v>0.35</v>
      </c>
      <c r="O55" s="39">
        <v>4.27</v>
      </c>
      <c r="P55" s="52" t="s">
        <v>38</v>
      </c>
      <c r="Q55" s="52">
        <v>30</v>
      </c>
      <c r="R55" s="52" t="s">
        <v>41</v>
      </c>
      <c r="S55" s="54">
        <v>100</v>
      </c>
    </row>
    <row r="56" ht="17.4" spans="1:19">
      <c r="A56" s="46" t="s">
        <v>76</v>
      </c>
      <c r="B56" s="47">
        <v>0.22</v>
      </c>
      <c r="C56" s="47">
        <f t="shared" si="6"/>
        <v>0.264</v>
      </c>
      <c r="D56" s="47">
        <v>4.27</v>
      </c>
      <c r="E56" s="47">
        <v>0.13</v>
      </c>
      <c r="F56" s="40">
        <v>0.1</v>
      </c>
      <c r="G56" s="47">
        <f t="shared" si="8"/>
        <v>0.572</v>
      </c>
      <c r="H56" s="47">
        <v>0.2</v>
      </c>
      <c r="I56" s="47">
        <v>0.12</v>
      </c>
      <c r="J56" s="47">
        <v>1.4</v>
      </c>
      <c r="K56" s="47">
        <v>0.13</v>
      </c>
      <c r="L56" s="47">
        <f t="shared" si="9"/>
        <v>0.156</v>
      </c>
      <c r="M56" s="39">
        <v>10.8</v>
      </c>
      <c r="N56" s="51">
        <v>0.5</v>
      </c>
      <c r="O56" s="51">
        <v>6.1</v>
      </c>
      <c r="P56" s="52" t="s">
        <v>38</v>
      </c>
      <c r="Q56" s="52">
        <v>30</v>
      </c>
      <c r="R56" s="52" t="s">
        <v>39</v>
      </c>
      <c r="S56" s="54">
        <v>200</v>
      </c>
    </row>
    <row r="57" ht="17.4" spans="1:19">
      <c r="A57" s="46" t="s">
        <v>76</v>
      </c>
      <c r="B57" s="47">
        <v>0.22</v>
      </c>
      <c r="C57" s="47">
        <f t="shared" si="6"/>
        <v>0.264</v>
      </c>
      <c r="D57" s="47">
        <v>4.27</v>
      </c>
      <c r="E57" s="47">
        <v>0.13</v>
      </c>
      <c r="F57" s="40">
        <v>0.1</v>
      </c>
      <c r="G57" s="47">
        <f t="shared" si="8"/>
        <v>0.572</v>
      </c>
      <c r="H57" s="47">
        <v>0.2</v>
      </c>
      <c r="I57" s="47">
        <v>0.12</v>
      </c>
      <c r="J57" s="47">
        <v>1.4</v>
      </c>
      <c r="K57" s="47">
        <v>0.13</v>
      </c>
      <c r="L57" s="47">
        <f t="shared" si="9"/>
        <v>0.156</v>
      </c>
      <c r="M57" s="39">
        <v>8.6</v>
      </c>
      <c r="N57" s="39">
        <v>0.35</v>
      </c>
      <c r="O57" s="39">
        <v>4.27</v>
      </c>
      <c r="P57" s="52" t="s">
        <v>38</v>
      </c>
      <c r="Q57" s="52">
        <v>30</v>
      </c>
      <c r="R57" s="52" t="s">
        <v>41</v>
      </c>
      <c r="S57" s="54">
        <v>100</v>
      </c>
    </row>
    <row r="58" ht="17.4" spans="1:19">
      <c r="A58" s="46" t="s">
        <v>77</v>
      </c>
      <c r="B58" s="47">
        <v>0.2</v>
      </c>
      <c r="C58" s="47">
        <f t="shared" si="6"/>
        <v>0.24</v>
      </c>
      <c r="D58" s="47">
        <v>3.5</v>
      </c>
      <c r="E58" s="47">
        <v>0.13</v>
      </c>
      <c r="F58" s="40">
        <v>0.1</v>
      </c>
      <c r="G58" s="47">
        <f t="shared" si="8"/>
        <v>0.572</v>
      </c>
      <c r="H58" s="47">
        <v>0.2</v>
      </c>
      <c r="I58" s="47">
        <v>0.12</v>
      </c>
      <c r="J58" s="47">
        <v>1.1</v>
      </c>
      <c r="K58" s="47">
        <v>0.13</v>
      </c>
      <c r="L58" s="47">
        <f t="shared" si="9"/>
        <v>0.156</v>
      </c>
      <c r="M58" s="39">
        <v>10.8</v>
      </c>
      <c r="N58" s="51">
        <v>0.5</v>
      </c>
      <c r="O58" s="51">
        <v>6.1</v>
      </c>
      <c r="P58" s="52" t="s">
        <v>38</v>
      </c>
      <c r="Q58" s="52">
        <v>30</v>
      </c>
      <c r="R58" s="52" t="s">
        <v>39</v>
      </c>
      <c r="S58" s="54">
        <v>200</v>
      </c>
    </row>
    <row r="59" ht="17.4" spans="1:19">
      <c r="A59" s="46" t="s">
        <v>78</v>
      </c>
      <c r="B59" s="47">
        <v>0.2</v>
      </c>
      <c r="C59" s="47">
        <f t="shared" si="6"/>
        <v>0.24</v>
      </c>
      <c r="D59" s="47">
        <v>3.5</v>
      </c>
      <c r="E59" s="47">
        <v>0.13</v>
      </c>
      <c r="F59" s="40">
        <v>0.1</v>
      </c>
      <c r="G59" s="47">
        <f t="shared" si="8"/>
        <v>0.572</v>
      </c>
      <c r="H59" s="47">
        <v>0.2</v>
      </c>
      <c r="I59" s="47">
        <v>0.12</v>
      </c>
      <c r="J59" s="47">
        <v>1.05</v>
      </c>
      <c r="K59" s="47">
        <v>0.13</v>
      </c>
      <c r="L59" s="47">
        <f t="shared" si="9"/>
        <v>0.156</v>
      </c>
      <c r="M59" s="39">
        <v>8.6</v>
      </c>
      <c r="N59" s="39">
        <v>0.35</v>
      </c>
      <c r="O59" s="39">
        <v>4.27</v>
      </c>
      <c r="P59" s="52" t="s">
        <v>38</v>
      </c>
      <c r="Q59" s="52">
        <v>30</v>
      </c>
      <c r="R59" s="52" t="s">
        <v>41</v>
      </c>
      <c r="S59" s="54">
        <v>100</v>
      </c>
    </row>
    <row r="60" ht="17.4" spans="1:19">
      <c r="A60" s="46" t="s">
        <v>79</v>
      </c>
      <c r="B60" s="47">
        <v>0.2</v>
      </c>
      <c r="C60" s="47">
        <f t="shared" si="6"/>
        <v>0.24</v>
      </c>
      <c r="D60" s="47">
        <v>3</v>
      </c>
      <c r="E60" s="47">
        <v>0.13</v>
      </c>
      <c r="F60" s="40">
        <v>0.1</v>
      </c>
      <c r="G60" s="47">
        <f t="shared" si="8"/>
        <v>0.572</v>
      </c>
      <c r="H60" s="47">
        <v>0.2</v>
      </c>
      <c r="I60" s="47">
        <v>0.12</v>
      </c>
      <c r="J60" s="47">
        <v>1.05</v>
      </c>
      <c r="K60" s="47">
        <v>0.13</v>
      </c>
      <c r="L60" s="47">
        <f t="shared" si="9"/>
        <v>0.156</v>
      </c>
      <c r="M60" s="39">
        <v>8.6</v>
      </c>
      <c r="N60" s="39">
        <v>0.35</v>
      </c>
      <c r="O60" s="39">
        <v>4.27</v>
      </c>
      <c r="P60" s="52" t="s">
        <v>38</v>
      </c>
      <c r="Q60" s="52">
        <v>30</v>
      </c>
      <c r="R60" s="52" t="s">
        <v>41</v>
      </c>
      <c r="S60" s="54">
        <v>100</v>
      </c>
    </row>
    <row r="61" ht="17.4" spans="1:19">
      <c r="A61" s="49" t="s">
        <v>80</v>
      </c>
      <c r="B61" s="47">
        <v>5.4</v>
      </c>
      <c r="C61" s="47">
        <v>6.5</v>
      </c>
      <c r="D61" s="47">
        <v>18</v>
      </c>
      <c r="E61" s="47">
        <v>8</v>
      </c>
      <c r="F61" s="40">
        <v>0</v>
      </c>
      <c r="G61" s="47">
        <f t="shared" ref="G61:G69" si="10">(E61+L61)*2</f>
        <v>16</v>
      </c>
      <c r="H61" s="47">
        <v>2</v>
      </c>
      <c r="I61" s="47">
        <v>0.5</v>
      </c>
      <c r="J61" s="47">
        <v>2</v>
      </c>
      <c r="K61" s="47">
        <v>0</v>
      </c>
      <c r="L61" s="47">
        <f t="shared" si="9"/>
        <v>0</v>
      </c>
      <c r="M61" s="39">
        <v>8.6</v>
      </c>
      <c r="N61" s="39">
        <v>0.35</v>
      </c>
      <c r="O61" s="39">
        <v>4.27</v>
      </c>
      <c r="P61" s="52" t="s">
        <v>38</v>
      </c>
      <c r="Q61" s="52">
        <v>30</v>
      </c>
      <c r="R61" s="52" t="s">
        <v>41</v>
      </c>
      <c r="S61" s="54">
        <v>100</v>
      </c>
    </row>
    <row r="62" ht="17.4" spans="1:19">
      <c r="A62" s="49" t="s">
        <v>81</v>
      </c>
      <c r="B62" s="47">
        <v>2.5</v>
      </c>
      <c r="C62" s="47">
        <v>3</v>
      </c>
      <c r="D62" s="47">
        <v>18</v>
      </c>
      <c r="E62" s="47">
        <v>3</v>
      </c>
      <c r="F62" s="40">
        <v>0</v>
      </c>
      <c r="G62" s="47">
        <f t="shared" si="10"/>
        <v>6</v>
      </c>
      <c r="H62" s="47">
        <v>2</v>
      </c>
      <c r="I62" s="47">
        <v>0.5</v>
      </c>
      <c r="J62" s="47">
        <v>2</v>
      </c>
      <c r="K62" s="47">
        <v>0</v>
      </c>
      <c r="L62" s="47">
        <f t="shared" si="9"/>
        <v>0</v>
      </c>
      <c r="M62" s="39">
        <v>10.8</v>
      </c>
      <c r="N62" s="51">
        <v>0.5</v>
      </c>
      <c r="O62" s="51">
        <v>6.1</v>
      </c>
      <c r="P62" s="52" t="s">
        <v>38</v>
      </c>
      <c r="Q62" s="52">
        <v>30</v>
      </c>
      <c r="R62" s="52" t="s">
        <v>39</v>
      </c>
      <c r="S62" s="54">
        <v>200</v>
      </c>
    </row>
    <row r="63" ht="17.4" spans="1:19">
      <c r="A63" s="49" t="s">
        <v>82</v>
      </c>
      <c r="B63" s="47">
        <v>4.2</v>
      </c>
      <c r="C63" s="47">
        <v>5</v>
      </c>
      <c r="D63" s="47">
        <v>18</v>
      </c>
      <c r="E63" s="47">
        <v>5</v>
      </c>
      <c r="F63" s="40">
        <v>0</v>
      </c>
      <c r="G63" s="47">
        <f t="shared" si="10"/>
        <v>10</v>
      </c>
      <c r="H63" s="47">
        <v>2</v>
      </c>
      <c r="I63" s="47">
        <v>0.5</v>
      </c>
      <c r="J63" s="47">
        <v>3.8</v>
      </c>
      <c r="K63" s="47">
        <v>0</v>
      </c>
      <c r="L63" s="47">
        <f t="shared" si="9"/>
        <v>0</v>
      </c>
      <c r="M63" s="39">
        <v>8.6</v>
      </c>
      <c r="N63" s="39">
        <v>0.35</v>
      </c>
      <c r="O63" s="39">
        <v>4.27</v>
      </c>
      <c r="P63" s="52" t="s">
        <v>38</v>
      </c>
      <c r="Q63" s="52">
        <v>30</v>
      </c>
      <c r="R63" s="52" t="s">
        <v>41</v>
      </c>
      <c r="S63" s="54">
        <v>100</v>
      </c>
    </row>
    <row r="64" ht="17.4" spans="1:19">
      <c r="A64" s="46" t="s">
        <v>83</v>
      </c>
      <c r="B64" s="47">
        <v>2.5</v>
      </c>
      <c r="C64" s="47">
        <v>3</v>
      </c>
      <c r="D64" s="47">
        <v>18</v>
      </c>
      <c r="E64" s="47">
        <v>3</v>
      </c>
      <c r="F64" s="40">
        <v>0</v>
      </c>
      <c r="G64" s="47">
        <f t="shared" si="10"/>
        <v>6</v>
      </c>
      <c r="H64" s="47">
        <v>2</v>
      </c>
      <c r="I64" s="47">
        <v>0.5</v>
      </c>
      <c r="J64" s="47">
        <v>3.2</v>
      </c>
      <c r="K64" s="47">
        <v>0</v>
      </c>
      <c r="L64" s="47">
        <f t="shared" si="9"/>
        <v>0</v>
      </c>
      <c r="M64" s="39">
        <v>10.8</v>
      </c>
      <c r="N64" s="51">
        <v>0.5</v>
      </c>
      <c r="O64" s="51">
        <v>6.1</v>
      </c>
      <c r="P64" s="52" t="s">
        <v>38</v>
      </c>
      <c r="Q64" s="52">
        <v>30</v>
      </c>
      <c r="R64" s="52" t="s">
        <v>39</v>
      </c>
      <c r="S64" s="54">
        <v>200</v>
      </c>
    </row>
    <row r="65" ht="17.4" spans="1:19">
      <c r="A65" s="46" t="s">
        <v>84</v>
      </c>
      <c r="B65" s="47">
        <v>2.5</v>
      </c>
      <c r="C65" s="47">
        <v>3</v>
      </c>
      <c r="D65" s="47">
        <v>18</v>
      </c>
      <c r="E65" s="47">
        <v>3</v>
      </c>
      <c r="F65" s="40">
        <v>0</v>
      </c>
      <c r="G65" s="47">
        <f t="shared" si="10"/>
        <v>6</v>
      </c>
      <c r="H65" s="47">
        <v>2</v>
      </c>
      <c r="I65" s="47">
        <v>0.5</v>
      </c>
      <c r="J65" s="47">
        <v>4.1</v>
      </c>
      <c r="K65" s="47">
        <v>0</v>
      </c>
      <c r="L65" s="47">
        <f t="shared" si="9"/>
        <v>0</v>
      </c>
      <c r="M65" s="39">
        <v>8.6</v>
      </c>
      <c r="N65" s="39">
        <v>0.35</v>
      </c>
      <c r="O65" s="39">
        <v>4.27</v>
      </c>
      <c r="P65" s="52" t="s">
        <v>38</v>
      </c>
      <c r="Q65" s="52">
        <v>30</v>
      </c>
      <c r="R65" s="52" t="s">
        <v>41</v>
      </c>
      <c r="S65" s="54">
        <v>100</v>
      </c>
    </row>
    <row r="66" ht="17.4" spans="1:19">
      <c r="A66" s="46" t="s">
        <v>85</v>
      </c>
      <c r="B66" s="45">
        <v>2.5</v>
      </c>
      <c r="C66" s="45">
        <v>3</v>
      </c>
      <c r="D66" s="47">
        <v>18</v>
      </c>
      <c r="E66" s="47">
        <v>0.53</v>
      </c>
      <c r="F66" s="40">
        <v>0</v>
      </c>
      <c r="G66" s="47">
        <f t="shared" si="10"/>
        <v>1.06</v>
      </c>
      <c r="H66" s="47">
        <v>0.2</v>
      </c>
      <c r="I66" s="47">
        <v>0.12</v>
      </c>
      <c r="J66" s="47">
        <v>3.8</v>
      </c>
      <c r="K66" s="47">
        <v>0</v>
      </c>
      <c r="L66" s="47">
        <f t="shared" si="9"/>
        <v>0</v>
      </c>
      <c r="M66" s="39">
        <v>8.6</v>
      </c>
      <c r="N66" s="39">
        <v>0.35</v>
      </c>
      <c r="O66" s="39">
        <v>4.27</v>
      </c>
      <c r="P66" s="52" t="s">
        <v>38</v>
      </c>
      <c r="Q66" s="52">
        <v>30</v>
      </c>
      <c r="R66" s="52" t="s">
        <v>41</v>
      </c>
      <c r="S66" s="54">
        <v>100</v>
      </c>
    </row>
    <row r="67" ht="17.4" spans="1:19">
      <c r="A67" s="46" t="s">
        <v>86</v>
      </c>
      <c r="B67" s="47">
        <v>2.5</v>
      </c>
      <c r="C67" s="47">
        <v>3</v>
      </c>
      <c r="D67" s="47">
        <v>18</v>
      </c>
      <c r="E67" s="47">
        <v>3</v>
      </c>
      <c r="F67" s="40">
        <v>0</v>
      </c>
      <c r="G67" s="47">
        <f t="shared" si="10"/>
        <v>6</v>
      </c>
      <c r="H67" s="47">
        <v>2</v>
      </c>
      <c r="I67" s="47">
        <v>0.5</v>
      </c>
      <c r="J67" s="47">
        <v>2</v>
      </c>
      <c r="K67" s="47">
        <v>0</v>
      </c>
      <c r="L67" s="47">
        <f t="shared" si="9"/>
        <v>0</v>
      </c>
      <c r="M67" s="39">
        <v>10.8</v>
      </c>
      <c r="N67" s="51">
        <v>0.5</v>
      </c>
      <c r="O67" s="51">
        <v>6.1</v>
      </c>
      <c r="P67" s="52" t="s">
        <v>38</v>
      </c>
      <c r="Q67" s="52">
        <v>30</v>
      </c>
      <c r="R67" s="52" t="s">
        <v>39</v>
      </c>
      <c r="S67" s="54">
        <v>200</v>
      </c>
    </row>
    <row r="68" ht="17.4" spans="1:19">
      <c r="A68" s="46" t="s">
        <v>87</v>
      </c>
      <c r="B68" s="47">
        <v>2.5</v>
      </c>
      <c r="C68" s="47">
        <v>3</v>
      </c>
      <c r="D68" s="47">
        <v>18</v>
      </c>
      <c r="E68" s="47">
        <v>3</v>
      </c>
      <c r="F68" s="40">
        <v>0</v>
      </c>
      <c r="G68" s="47">
        <f t="shared" si="10"/>
        <v>6</v>
      </c>
      <c r="H68" s="47">
        <v>2</v>
      </c>
      <c r="I68" s="47">
        <v>0.5</v>
      </c>
      <c r="J68" s="47">
        <v>2</v>
      </c>
      <c r="K68" s="47">
        <v>0</v>
      </c>
      <c r="L68" s="47">
        <f t="shared" si="9"/>
        <v>0</v>
      </c>
      <c r="M68" s="39">
        <v>8.6</v>
      </c>
      <c r="N68" s="39">
        <v>0.35</v>
      </c>
      <c r="O68" s="39">
        <v>4.27</v>
      </c>
      <c r="P68" s="52" t="s">
        <v>38</v>
      </c>
      <c r="Q68" s="52">
        <v>30</v>
      </c>
      <c r="R68" s="52" t="s">
        <v>41</v>
      </c>
      <c r="S68" s="54">
        <v>100</v>
      </c>
    </row>
    <row r="69" ht="17.4" spans="1:19">
      <c r="A69" s="48" t="s">
        <v>88</v>
      </c>
      <c r="B69" s="47">
        <v>5.4</v>
      </c>
      <c r="C69" s="47">
        <v>6.5</v>
      </c>
      <c r="D69" s="47">
        <v>25</v>
      </c>
      <c r="E69" s="47">
        <v>8</v>
      </c>
      <c r="F69" s="40">
        <v>0</v>
      </c>
      <c r="G69" s="47">
        <f t="shared" si="10"/>
        <v>16</v>
      </c>
      <c r="H69" s="47">
        <v>3.5</v>
      </c>
      <c r="I69" s="47">
        <v>0.5</v>
      </c>
      <c r="J69" s="47">
        <v>3.2</v>
      </c>
      <c r="K69" s="47">
        <v>0</v>
      </c>
      <c r="L69" s="47">
        <f t="shared" si="9"/>
        <v>0</v>
      </c>
      <c r="M69" s="39">
        <v>8.6</v>
      </c>
      <c r="N69" s="39">
        <v>0.35</v>
      </c>
      <c r="O69" s="39">
        <v>4.27</v>
      </c>
      <c r="P69" s="52" t="s">
        <v>38</v>
      </c>
      <c r="Q69" s="52">
        <v>30</v>
      </c>
      <c r="R69" s="52" t="s">
        <v>41</v>
      </c>
      <c r="S69" s="54">
        <v>100</v>
      </c>
    </row>
  </sheetData>
  <autoFilter xmlns:etc="http://www.wps.cn/officeDocument/2017/etCustomData" ref="A1:S6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zoomScale="160" zoomScaleNormal="160" workbookViewId="0">
      <selection activeCell="B12" sqref="B12"/>
    </sheetView>
  </sheetViews>
  <sheetFormatPr defaultColWidth="9" defaultRowHeight="14.4" outlineLevelCol="1"/>
  <cols>
    <col min="1" max="1" width="49.6296296296296" customWidth="1"/>
    <col min="2" max="2" width="48.6296296296296" customWidth="1"/>
  </cols>
  <sheetData>
    <row r="1" s="1" customFormat="1" ht="61" customHeight="1" spans="1:2">
      <c r="A1" s="32" t="s">
        <v>89</v>
      </c>
      <c r="B1" s="33"/>
    </row>
    <row r="2" ht="29" customHeight="1" spans="1:2">
      <c r="A2" s="33" t="s">
        <v>90</v>
      </c>
      <c r="B2" s="33" t="s">
        <v>91</v>
      </c>
    </row>
    <row r="3" spans="1:2">
      <c r="A3" s="34" t="s">
        <v>92</v>
      </c>
      <c r="B3" s="35">
        <v>10</v>
      </c>
    </row>
    <row r="4" spans="1:2">
      <c r="A4" s="36" t="s">
        <v>93</v>
      </c>
      <c r="B4" s="35">
        <v>10</v>
      </c>
    </row>
    <row r="5" spans="1:2">
      <c r="A5" s="36" t="s">
        <v>94</v>
      </c>
      <c r="B5" s="35">
        <v>10</v>
      </c>
    </row>
    <row r="6" spans="1:2">
      <c r="A6" s="36" t="s">
        <v>95</v>
      </c>
      <c r="B6" s="35">
        <v>10</v>
      </c>
    </row>
    <row r="7" spans="1:2">
      <c r="A7" s="36" t="s">
        <v>96</v>
      </c>
      <c r="B7" s="35">
        <v>10</v>
      </c>
    </row>
    <row r="8" spans="1:2">
      <c r="A8" s="36" t="s">
        <v>97</v>
      </c>
      <c r="B8" s="35">
        <v>10</v>
      </c>
    </row>
    <row r="9" spans="1:2">
      <c r="A9" s="34" t="s">
        <v>98</v>
      </c>
      <c r="B9" s="35">
        <v>6</v>
      </c>
    </row>
    <row r="10" spans="1:2">
      <c r="A10" s="34" t="s">
        <v>99</v>
      </c>
      <c r="B10" s="35">
        <v>6</v>
      </c>
    </row>
    <row r="11" spans="1:2">
      <c r="A11" s="34" t="s">
        <v>100</v>
      </c>
      <c r="B11" s="35">
        <v>6</v>
      </c>
    </row>
    <row r="12" spans="1:2">
      <c r="A12" s="34" t="s">
        <v>101</v>
      </c>
      <c r="B12" s="35">
        <v>6</v>
      </c>
    </row>
    <row r="13" spans="1:2">
      <c r="A13" s="34" t="s">
        <v>102</v>
      </c>
      <c r="B13" s="35">
        <v>3</v>
      </c>
    </row>
    <row r="14" spans="1:2">
      <c r="A14" s="34" t="s">
        <v>103</v>
      </c>
      <c r="B14" s="35">
        <v>3</v>
      </c>
    </row>
    <row r="15" spans="1:2">
      <c r="A15" s="34" t="s">
        <v>104</v>
      </c>
      <c r="B15" s="35">
        <v>3</v>
      </c>
    </row>
    <row r="16" spans="1:2">
      <c r="A16" s="34" t="s">
        <v>105</v>
      </c>
      <c r="B16" s="35">
        <v>3</v>
      </c>
    </row>
    <row r="17" spans="1:2">
      <c r="A17" s="34" t="s">
        <v>106</v>
      </c>
      <c r="B17" s="35">
        <v>3</v>
      </c>
    </row>
    <row r="18" spans="1:2">
      <c r="A18" s="34" t="s">
        <v>107</v>
      </c>
      <c r="B18" s="35">
        <v>3</v>
      </c>
    </row>
    <row r="19" spans="1:2">
      <c r="A19" s="34" t="s">
        <v>108</v>
      </c>
      <c r="B19" s="35">
        <v>3</v>
      </c>
    </row>
    <row r="20" spans="1:2">
      <c r="A20" s="34" t="s">
        <v>109</v>
      </c>
      <c r="B20" s="35">
        <v>3</v>
      </c>
    </row>
    <row r="21" spans="1:2">
      <c r="A21" s="34" t="s">
        <v>110</v>
      </c>
      <c r="B21" s="35">
        <v>3</v>
      </c>
    </row>
    <row r="22" spans="1:2">
      <c r="A22" s="34" t="s">
        <v>111</v>
      </c>
      <c r="B22" s="35">
        <v>3</v>
      </c>
    </row>
    <row r="23" spans="1:2">
      <c r="A23" s="34" t="s">
        <v>112</v>
      </c>
      <c r="B23" s="35">
        <v>3</v>
      </c>
    </row>
    <row r="24" spans="1:2">
      <c r="A24" s="34" t="s">
        <v>113</v>
      </c>
      <c r="B24" s="35">
        <v>3</v>
      </c>
    </row>
    <row r="25" spans="1:2">
      <c r="A25" s="34" t="s">
        <v>114</v>
      </c>
      <c r="B25" s="35">
        <v>3</v>
      </c>
    </row>
    <row r="26" spans="1:2">
      <c r="A26" s="34" t="s">
        <v>115</v>
      </c>
      <c r="B26" s="35">
        <v>3</v>
      </c>
    </row>
    <row r="27" spans="1:2">
      <c r="A27" s="34" t="s">
        <v>116</v>
      </c>
      <c r="B27" s="35">
        <v>3</v>
      </c>
    </row>
    <row r="28" spans="1:2">
      <c r="A28" s="34" t="s">
        <v>117</v>
      </c>
      <c r="B28" s="35">
        <v>3</v>
      </c>
    </row>
    <row r="29" spans="1:2">
      <c r="A29" s="34" t="s">
        <v>114</v>
      </c>
      <c r="B29" s="35">
        <v>3</v>
      </c>
    </row>
    <row r="30" spans="1:2">
      <c r="A30" s="34" t="s">
        <v>115</v>
      </c>
      <c r="B30" s="35">
        <v>3</v>
      </c>
    </row>
    <row r="31" spans="1:2">
      <c r="A31" s="34" t="s">
        <v>118</v>
      </c>
      <c r="B31" s="35">
        <v>3</v>
      </c>
    </row>
    <row r="32" spans="1:2">
      <c r="A32" s="34" t="s">
        <v>119</v>
      </c>
      <c r="B32" s="35">
        <v>3</v>
      </c>
    </row>
    <row r="33" spans="1:2">
      <c r="A33" s="34" t="s">
        <v>120</v>
      </c>
      <c r="B33" s="35">
        <v>3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G13" sqref="G13"/>
    </sheetView>
  </sheetViews>
  <sheetFormatPr defaultColWidth="9" defaultRowHeight="14.4" outlineLevelCol="1"/>
  <cols>
    <col min="1" max="1" width="17.2222222222222" customWidth="1"/>
    <col min="2" max="2" width="34.3333333333333" customWidth="1"/>
  </cols>
  <sheetData>
    <row r="1" spans="1:2">
      <c r="A1" t="s">
        <v>80</v>
      </c>
      <c r="B1" t="s">
        <v>121</v>
      </c>
    </row>
    <row r="2" spans="1:2">
      <c r="A2" t="s">
        <v>81</v>
      </c>
      <c r="B2" t="s">
        <v>122</v>
      </c>
    </row>
    <row r="3" spans="1:2">
      <c r="A3" t="s">
        <v>82</v>
      </c>
      <c r="B3" t="s">
        <v>123</v>
      </c>
    </row>
    <row r="4" spans="1:2">
      <c r="A4" t="s">
        <v>83</v>
      </c>
      <c r="B4" t="s">
        <v>124</v>
      </c>
    </row>
    <row r="5" spans="1:2">
      <c r="A5" t="s">
        <v>84</v>
      </c>
      <c r="B5" t="s">
        <v>124</v>
      </c>
    </row>
    <row r="6" spans="1:2">
      <c r="A6" t="s">
        <v>85</v>
      </c>
      <c r="B6" t="s">
        <v>125</v>
      </c>
    </row>
    <row r="7" spans="1:2">
      <c r="A7" t="s">
        <v>86</v>
      </c>
      <c r="B7" t="s">
        <v>126</v>
      </c>
    </row>
    <row r="8" spans="1:2">
      <c r="A8" t="s">
        <v>87</v>
      </c>
      <c r="B8" t="s">
        <v>127</v>
      </c>
    </row>
    <row r="9" spans="1:2">
      <c r="A9" t="s">
        <v>88</v>
      </c>
      <c r="B9" t="s">
        <v>128</v>
      </c>
    </row>
    <row r="10" spans="1:2">
      <c r="A10" s="31" t="s">
        <v>129</v>
      </c>
      <c r="B10" s="31" t="s">
        <v>130</v>
      </c>
    </row>
    <row r="11" spans="1:2">
      <c r="A11" s="31" t="s">
        <v>131</v>
      </c>
      <c r="B11" s="31" t="s">
        <v>132</v>
      </c>
    </row>
    <row r="12" spans="1:2">
      <c r="A12" s="31" t="s">
        <v>133</v>
      </c>
      <c r="B12" s="31" t="s">
        <v>134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51"/>
  <sheetViews>
    <sheetView zoomScale="70" zoomScaleNormal="70" topLeftCell="A2" workbookViewId="0">
      <selection activeCell="J57" sqref="J57"/>
    </sheetView>
  </sheetViews>
  <sheetFormatPr defaultColWidth="8.88888888888889" defaultRowHeight="15.6"/>
  <cols>
    <col min="1" max="1" width="3.32407407407407" style="1" customWidth="1"/>
    <col min="2" max="2" width="5.55555555555556" style="2" customWidth="1"/>
    <col min="3" max="3" width="9.33333333333333" style="1" customWidth="1"/>
    <col min="4" max="4" width="26.5" style="1" customWidth="1"/>
    <col min="5" max="5" width="9.80555555555556" style="1" customWidth="1"/>
    <col min="6" max="6" width="1.33333333333333" style="1" customWidth="1"/>
    <col min="7" max="7" width="10.5925925925926" style="1" customWidth="1"/>
    <col min="8" max="8" width="30.1574074074074" style="1" customWidth="1"/>
    <col min="9" max="9" width="10.8888888888889" style="1" customWidth="1"/>
    <col min="10" max="10" width="5.07407407407407" style="3" customWidth="1"/>
    <col min="11" max="11" width="61.7407407407407" style="1" customWidth="1"/>
    <col min="12" max="12" width="33.7962962962963" style="1" customWidth="1"/>
    <col min="13" max="13" width="54.4351851851852" style="1" customWidth="1"/>
    <col min="14" max="16384" width="8.88888888888889" style="1"/>
  </cols>
  <sheetData>
    <row r="2" ht="54" customHeight="1" spans="2:13">
      <c r="B2" s="4" t="s">
        <v>135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5" customHeight="1"/>
    <row r="4" ht="52" customHeight="1" spans="2:13">
      <c r="B4" s="5" t="s">
        <v>136</v>
      </c>
      <c r="C4" s="5"/>
      <c r="D4" s="5"/>
      <c r="E4" s="5"/>
      <c r="F4" s="5"/>
      <c r="G4" s="5"/>
      <c r="H4" s="5"/>
      <c r="I4" s="5"/>
      <c r="J4" s="5"/>
      <c r="K4" s="20" t="s">
        <v>137</v>
      </c>
      <c r="L4" s="5"/>
      <c r="M4" s="20" t="s">
        <v>138</v>
      </c>
    </row>
    <row r="5" ht="49" customHeight="1" spans="2:13">
      <c r="B5" s="5"/>
      <c r="C5" s="5"/>
      <c r="D5" s="5"/>
      <c r="E5" s="5"/>
      <c r="F5" s="5"/>
      <c r="G5" s="5"/>
      <c r="H5" s="5"/>
      <c r="I5" s="5"/>
      <c r="J5" s="5"/>
      <c r="K5" s="21" t="s">
        <v>139</v>
      </c>
      <c r="L5" s="21" t="s">
        <v>140</v>
      </c>
      <c r="M5" s="5"/>
    </row>
    <row r="6" ht="15" customHeight="1" spans="2:13">
      <c r="B6" s="6"/>
      <c r="C6" s="7"/>
      <c r="D6" s="7"/>
      <c r="E6" s="7"/>
      <c r="F6" s="7"/>
      <c r="G6" s="7"/>
      <c r="H6" s="7"/>
      <c r="I6" s="7"/>
      <c r="J6" s="22"/>
      <c r="K6" s="23"/>
      <c r="L6" s="23"/>
      <c r="M6" s="23"/>
    </row>
    <row r="7" ht="32" customHeight="1" spans="2:13">
      <c r="B7" s="8" t="s">
        <v>141</v>
      </c>
      <c r="C7" s="9" t="s">
        <v>142</v>
      </c>
      <c r="D7" s="10" t="s">
        <v>143</v>
      </c>
      <c r="E7" s="10"/>
      <c r="F7" s="10"/>
      <c r="G7" s="10"/>
      <c r="H7" s="10"/>
      <c r="I7" s="9" t="s">
        <v>142</v>
      </c>
      <c r="J7" s="24"/>
      <c r="K7" s="25" t="s">
        <v>144</v>
      </c>
      <c r="L7" s="25" t="s">
        <v>145</v>
      </c>
      <c r="M7" s="25" t="s">
        <v>146</v>
      </c>
    </row>
    <row r="8" ht="15" customHeight="1" spans="2:13">
      <c r="B8" s="8"/>
      <c r="J8" s="26"/>
      <c r="K8" s="27"/>
      <c r="L8" s="27"/>
      <c r="M8" s="27"/>
    </row>
    <row r="9" ht="32" customHeight="1" spans="2:13">
      <c r="B9" s="8" t="s">
        <v>147</v>
      </c>
      <c r="C9" s="9" t="s">
        <v>142</v>
      </c>
      <c r="D9" s="10" t="s">
        <v>143</v>
      </c>
      <c r="E9" s="10"/>
      <c r="F9" s="10"/>
      <c r="G9" s="10"/>
      <c r="H9" s="10"/>
      <c r="I9" s="11" t="s">
        <v>148</v>
      </c>
      <c r="J9" s="24"/>
      <c r="K9" s="25" t="s">
        <v>149</v>
      </c>
      <c r="L9" s="25" t="s">
        <v>145</v>
      </c>
      <c r="M9" s="25" t="s">
        <v>146</v>
      </c>
    </row>
    <row r="10" ht="15" customHeight="1" spans="2:13">
      <c r="B10" s="8"/>
      <c r="J10" s="26"/>
      <c r="K10" s="27"/>
      <c r="L10" s="27"/>
      <c r="M10" s="27"/>
    </row>
    <row r="11" ht="32" customHeight="1" spans="2:13">
      <c r="B11" s="8" t="s">
        <v>150</v>
      </c>
      <c r="C11" s="11" t="s">
        <v>148</v>
      </c>
      <c r="D11" s="10" t="s">
        <v>143</v>
      </c>
      <c r="E11" s="10"/>
      <c r="F11" s="10"/>
      <c r="G11" s="10"/>
      <c r="H11" s="10"/>
      <c r="I11" s="11" t="s">
        <v>148</v>
      </c>
      <c r="J11" s="24"/>
      <c r="K11" s="25" t="s">
        <v>151</v>
      </c>
      <c r="L11" s="25" t="s">
        <v>145</v>
      </c>
      <c r="M11" s="25" t="s">
        <v>146</v>
      </c>
    </row>
    <row r="12" ht="15" customHeight="1" spans="2:13">
      <c r="B12" s="8"/>
      <c r="C12" s="12"/>
      <c r="D12" s="13"/>
      <c r="E12" s="13"/>
      <c r="F12" s="13"/>
      <c r="G12" s="13"/>
      <c r="H12" s="13"/>
      <c r="I12" s="12"/>
      <c r="J12" s="24"/>
      <c r="K12" s="27"/>
      <c r="L12" s="27"/>
      <c r="M12" s="27"/>
    </row>
    <row r="13" ht="15" customHeight="1" spans="2:13">
      <c r="B13" s="8"/>
      <c r="E13" s="14" t="s">
        <v>152</v>
      </c>
      <c r="F13" s="14"/>
      <c r="G13" s="14"/>
      <c r="J13" s="26"/>
      <c r="K13" s="27"/>
      <c r="L13" s="27"/>
      <c r="M13" s="27"/>
    </row>
    <row r="14" ht="32" customHeight="1" spans="2:13">
      <c r="B14" s="8" t="s">
        <v>153</v>
      </c>
      <c r="C14" s="9" t="s">
        <v>142</v>
      </c>
      <c r="D14" s="10" t="s">
        <v>154</v>
      </c>
      <c r="E14" s="9" t="s">
        <v>142</v>
      </c>
      <c r="F14" s="15"/>
      <c r="G14" s="9" t="s">
        <v>142</v>
      </c>
      <c r="H14" s="10" t="s">
        <v>154</v>
      </c>
      <c r="I14" s="9" t="s">
        <v>142</v>
      </c>
      <c r="J14" s="24"/>
      <c r="K14" s="25" t="s">
        <v>155</v>
      </c>
      <c r="L14" s="25" t="s">
        <v>145</v>
      </c>
      <c r="M14" s="25" t="s">
        <v>146</v>
      </c>
    </row>
    <row r="15" ht="15" customHeight="1" spans="2:13">
      <c r="B15" s="8"/>
      <c r="C15" s="12"/>
      <c r="D15" s="13"/>
      <c r="E15" s="12"/>
      <c r="F15" s="16"/>
      <c r="G15" s="12"/>
      <c r="H15" s="13"/>
      <c r="I15" s="12"/>
      <c r="J15" s="24"/>
      <c r="K15" s="27"/>
      <c r="L15" s="27"/>
      <c r="M15" s="27"/>
    </row>
    <row r="16" ht="15" customHeight="1" spans="2:13">
      <c r="B16" s="8"/>
      <c r="E16" s="14" t="s">
        <v>152</v>
      </c>
      <c r="F16" s="14"/>
      <c r="G16" s="14"/>
      <c r="J16" s="26"/>
      <c r="K16" s="27"/>
      <c r="L16" s="27"/>
      <c r="M16" s="27"/>
    </row>
    <row r="17" ht="32" customHeight="1" spans="2:13">
      <c r="B17" s="8" t="s">
        <v>156</v>
      </c>
      <c r="C17" s="11" t="s">
        <v>148</v>
      </c>
      <c r="D17" s="10" t="s">
        <v>154</v>
      </c>
      <c r="E17" s="9" t="s">
        <v>142</v>
      </c>
      <c r="F17" s="15"/>
      <c r="G17" s="9" t="s">
        <v>142</v>
      </c>
      <c r="H17" s="10" t="s">
        <v>154</v>
      </c>
      <c r="I17" s="9" t="s">
        <v>142</v>
      </c>
      <c r="J17" s="24"/>
      <c r="K17" s="25" t="s">
        <v>157</v>
      </c>
      <c r="L17" s="25" t="s">
        <v>145</v>
      </c>
      <c r="M17" s="25" t="s">
        <v>146</v>
      </c>
    </row>
    <row r="18" ht="15" customHeight="1" spans="2:13">
      <c r="B18" s="8"/>
      <c r="C18" s="1"/>
      <c r="D18" s="1"/>
      <c r="E18" s="1"/>
      <c r="F18" s="1"/>
      <c r="G18" s="1"/>
      <c r="H18" s="1"/>
      <c r="I18" s="1"/>
      <c r="J18" s="26"/>
      <c r="K18" s="27"/>
      <c r="L18" s="27"/>
      <c r="M18" s="27"/>
    </row>
    <row r="19" ht="15" customHeight="1" spans="2:13">
      <c r="B19" s="8"/>
      <c r="C19" s="1"/>
      <c r="D19" s="1"/>
      <c r="E19" s="14" t="s">
        <v>158</v>
      </c>
      <c r="F19" s="14"/>
      <c r="G19" s="14"/>
      <c r="H19" s="1"/>
      <c r="I19" s="1"/>
      <c r="J19" s="26"/>
      <c r="K19" s="27"/>
      <c r="L19" s="27"/>
      <c r="M19" s="27"/>
    </row>
    <row r="20" ht="32" customHeight="1" spans="2:13">
      <c r="B20" s="8" t="s">
        <v>159</v>
      </c>
      <c r="C20" s="11" t="s">
        <v>148</v>
      </c>
      <c r="D20" s="10" t="s">
        <v>154</v>
      </c>
      <c r="E20" s="11" t="s">
        <v>148</v>
      </c>
      <c r="F20" s="15"/>
      <c r="G20" s="11" t="s">
        <v>148</v>
      </c>
      <c r="H20" s="10" t="s">
        <v>154</v>
      </c>
      <c r="I20" s="9" t="s">
        <v>142</v>
      </c>
      <c r="J20" s="24"/>
      <c r="K20" s="25" t="s">
        <v>160</v>
      </c>
      <c r="L20" s="25" t="s">
        <v>145</v>
      </c>
      <c r="M20" s="25" t="s">
        <v>146</v>
      </c>
    </row>
    <row r="21" ht="15" customHeight="1" spans="2:13">
      <c r="B21" s="8"/>
      <c r="J21" s="26"/>
      <c r="K21" s="27"/>
      <c r="L21" s="27"/>
      <c r="M21" s="27"/>
    </row>
    <row r="22" ht="15" customHeight="1" spans="2:13">
      <c r="B22" s="8"/>
      <c r="E22" s="14" t="s">
        <v>152</v>
      </c>
      <c r="F22" s="14"/>
      <c r="G22" s="14"/>
      <c r="J22" s="26"/>
      <c r="K22" s="27"/>
      <c r="L22" s="27"/>
      <c r="M22" s="27"/>
    </row>
    <row r="23" ht="32" customHeight="1" spans="2:13">
      <c r="B23" s="8" t="s">
        <v>161</v>
      </c>
      <c r="C23" s="11" t="s">
        <v>148</v>
      </c>
      <c r="D23" s="10" t="s">
        <v>154</v>
      </c>
      <c r="E23" s="9" t="s">
        <v>142</v>
      </c>
      <c r="F23" s="15"/>
      <c r="G23" s="9" t="s">
        <v>142</v>
      </c>
      <c r="H23" s="10" t="s">
        <v>154</v>
      </c>
      <c r="I23" s="11" t="s">
        <v>148</v>
      </c>
      <c r="J23" s="24"/>
      <c r="K23" s="25" t="s">
        <v>162</v>
      </c>
      <c r="L23" s="25" t="s">
        <v>145</v>
      </c>
      <c r="M23" s="25" t="s">
        <v>146</v>
      </c>
    </row>
    <row r="24" ht="15" customHeight="1" spans="2:13">
      <c r="B24" s="8"/>
      <c r="J24" s="26"/>
      <c r="K24" s="27"/>
      <c r="L24" s="27"/>
      <c r="M24" s="27"/>
    </row>
    <row r="25" ht="15" customHeight="1" spans="2:13">
      <c r="B25" s="8"/>
      <c r="E25" s="14" t="s">
        <v>158</v>
      </c>
      <c r="F25" s="14"/>
      <c r="G25" s="14"/>
      <c r="J25" s="26"/>
      <c r="K25" s="27"/>
      <c r="L25" s="27"/>
      <c r="M25" s="27"/>
    </row>
    <row r="26" ht="32" customHeight="1" spans="2:13">
      <c r="B26" s="8" t="s">
        <v>163</v>
      </c>
      <c r="C26" s="11" t="s">
        <v>148</v>
      </c>
      <c r="D26" s="10" t="s">
        <v>154</v>
      </c>
      <c r="E26" s="11" t="s">
        <v>148</v>
      </c>
      <c r="F26" s="15"/>
      <c r="G26" s="11" t="s">
        <v>148</v>
      </c>
      <c r="H26" s="10" t="s">
        <v>154</v>
      </c>
      <c r="I26" s="11" t="s">
        <v>148</v>
      </c>
      <c r="J26" s="24"/>
      <c r="K26" s="25" t="s">
        <v>164</v>
      </c>
      <c r="L26" s="25" t="s">
        <v>145</v>
      </c>
      <c r="M26" s="25" t="s">
        <v>146</v>
      </c>
    </row>
    <row r="27" ht="15" customHeight="1" spans="2:13">
      <c r="B27" s="8"/>
      <c r="J27" s="26"/>
      <c r="K27" s="27"/>
      <c r="L27" s="27"/>
      <c r="M27" s="27"/>
    </row>
    <row r="28" ht="32" customHeight="1" spans="2:13">
      <c r="B28" s="8" t="s">
        <v>165</v>
      </c>
      <c r="C28" s="9" t="s">
        <v>142</v>
      </c>
      <c r="D28" s="10" t="s">
        <v>143</v>
      </c>
      <c r="E28" s="10"/>
      <c r="F28" s="10"/>
      <c r="G28" s="10"/>
      <c r="H28" s="10"/>
      <c r="I28" s="17" t="s">
        <v>166</v>
      </c>
      <c r="J28" s="24"/>
      <c r="K28" s="25" t="s">
        <v>167</v>
      </c>
      <c r="L28" s="25" t="s">
        <v>145</v>
      </c>
      <c r="M28" s="25" t="s">
        <v>146</v>
      </c>
    </row>
    <row r="29" ht="15" customHeight="1" spans="2:13">
      <c r="B29" s="8"/>
      <c r="J29" s="26"/>
      <c r="K29" s="27"/>
      <c r="L29" s="27"/>
      <c r="M29" s="27"/>
    </row>
    <row r="30" ht="32" customHeight="1" spans="2:13">
      <c r="B30" s="8" t="s">
        <v>168</v>
      </c>
      <c r="C30" s="11" t="s">
        <v>148</v>
      </c>
      <c r="D30" s="10" t="s">
        <v>143</v>
      </c>
      <c r="E30" s="10"/>
      <c r="F30" s="10"/>
      <c r="G30" s="10"/>
      <c r="H30" s="10"/>
      <c r="I30" s="17" t="s">
        <v>166</v>
      </c>
      <c r="J30" s="24"/>
      <c r="K30" s="25" t="s">
        <v>169</v>
      </c>
      <c r="L30" s="25" t="s">
        <v>145</v>
      </c>
      <c r="M30" s="25" t="s">
        <v>146</v>
      </c>
    </row>
    <row r="31" ht="15" customHeight="1" spans="2:13">
      <c r="B31" s="8"/>
      <c r="J31" s="26"/>
      <c r="K31" s="27"/>
      <c r="L31" s="27"/>
      <c r="M31" s="27"/>
    </row>
    <row r="32" ht="15" customHeight="1" spans="2:13">
      <c r="B32" s="8"/>
      <c r="E32" s="14" t="s">
        <v>152</v>
      </c>
      <c r="F32" s="14"/>
      <c r="G32" s="14"/>
      <c r="J32" s="26"/>
      <c r="K32" s="27"/>
      <c r="L32" s="27"/>
      <c r="M32" s="27"/>
    </row>
    <row r="33" ht="32" customHeight="1" spans="2:13">
      <c r="B33" s="8" t="s">
        <v>170</v>
      </c>
      <c r="C33" s="9" t="s">
        <v>142</v>
      </c>
      <c r="D33" s="10" t="s">
        <v>154</v>
      </c>
      <c r="E33" s="9" t="s">
        <v>142</v>
      </c>
      <c r="F33" s="15"/>
      <c r="G33" s="9" t="s">
        <v>142</v>
      </c>
      <c r="H33" s="10" t="s">
        <v>154</v>
      </c>
      <c r="I33" s="17" t="s">
        <v>166</v>
      </c>
      <c r="J33" s="24"/>
      <c r="K33" s="25" t="s">
        <v>171</v>
      </c>
      <c r="L33" s="25" t="s">
        <v>145</v>
      </c>
      <c r="M33" s="25" t="s">
        <v>146</v>
      </c>
    </row>
    <row r="34" ht="15" customHeight="1" spans="2:13">
      <c r="B34" s="8"/>
      <c r="J34" s="26"/>
      <c r="K34" s="27"/>
      <c r="L34" s="27"/>
      <c r="M34" s="27"/>
    </row>
    <row r="35" ht="15" customHeight="1" spans="2:13">
      <c r="B35" s="8"/>
      <c r="E35" s="14" t="s">
        <v>158</v>
      </c>
      <c r="F35" s="14"/>
      <c r="G35" s="14"/>
      <c r="J35" s="26"/>
      <c r="K35" s="27"/>
      <c r="L35" s="27"/>
      <c r="M35" s="27"/>
    </row>
    <row r="36" ht="32" customHeight="1" spans="2:13">
      <c r="B36" s="8" t="s">
        <v>172</v>
      </c>
      <c r="C36" s="9" t="s">
        <v>142</v>
      </c>
      <c r="D36" s="10" t="s">
        <v>154</v>
      </c>
      <c r="E36" s="11" t="s">
        <v>148</v>
      </c>
      <c r="F36" s="15"/>
      <c r="G36" s="11" t="s">
        <v>148</v>
      </c>
      <c r="H36" s="10" t="s">
        <v>154</v>
      </c>
      <c r="I36" s="17" t="s">
        <v>166</v>
      </c>
      <c r="J36" s="24"/>
      <c r="K36" s="28" t="s">
        <v>173</v>
      </c>
      <c r="L36" s="25" t="s">
        <v>145</v>
      </c>
      <c r="M36" s="25" t="s">
        <v>146</v>
      </c>
    </row>
    <row r="37" ht="15" customHeight="1" spans="2:13">
      <c r="B37" s="8"/>
      <c r="J37" s="26"/>
      <c r="K37" s="27"/>
      <c r="L37" s="27"/>
      <c r="M37" s="27"/>
    </row>
    <row r="38" ht="15" customHeight="1" spans="2:13">
      <c r="B38" s="8"/>
      <c r="E38" s="14" t="s">
        <v>152</v>
      </c>
      <c r="F38" s="14"/>
      <c r="G38" s="14"/>
      <c r="J38" s="26"/>
      <c r="K38" s="27"/>
      <c r="L38" s="27"/>
      <c r="M38" s="27"/>
    </row>
    <row r="39" ht="32" customHeight="1" spans="2:13">
      <c r="B39" s="8" t="s">
        <v>174</v>
      </c>
      <c r="C39" s="11" t="s">
        <v>148</v>
      </c>
      <c r="D39" s="10" t="s">
        <v>154</v>
      </c>
      <c r="E39" s="9" t="s">
        <v>142</v>
      </c>
      <c r="F39" s="15"/>
      <c r="G39" s="9" t="s">
        <v>142</v>
      </c>
      <c r="H39" s="10" t="s">
        <v>154</v>
      </c>
      <c r="I39" s="17" t="s">
        <v>166</v>
      </c>
      <c r="J39" s="24"/>
      <c r="K39" s="25" t="s">
        <v>175</v>
      </c>
      <c r="L39" s="25" t="s">
        <v>145</v>
      </c>
      <c r="M39" s="25" t="s">
        <v>146</v>
      </c>
    </row>
    <row r="40" ht="15" customHeight="1" spans="2:13">
      <c r="B40" s="8"/>
      <c r="J40" s="26"/>
      <c r="K40" s="27"/>
      <c r="L40" s="27"/>
      <c r="M40" s="27"/>
    </row>
    <row r="41" ht="15" customHeight="1" spans="2:13">
      <c r="B41" s="8"/>
      <c r="E41" s="14" t="s">
        <v>158</v>
      </c>
      <c r="F41" s="14"/>
      <c r="G41" s="14"/>
      <c r="J41" s="26"/>
      <c r="K41" s="27"/>
      <c r="L41" s="27"/>
      <c r="M41" s="27"/>
    </row>
    <row r="42" ht="32" customHeight="1" spans="2:13">
      <c r="B42" s="8" t="s">
        <v>176</v>
      </c>
      <c r="C42" s="11" t="s">
        <v>148</v>
      </c>
      <c r="D42" s="10" t="s">
        <v>154</v>
      </c>
      <c r="E42" s="11" t="s">
        <v>148</v>
      </c>
      <c r="F42" s="15"/>
      <c r="G42" s="11" t="s">
        <v>148</v>
      </c>
      <c r="H42" s="10" t="s">
        <v>154</v>
      </c>
      <c r="I42" s="17" t="s">
        <v>166</v>
      </c>
      <c r="J42" s="24"/>
      <c r="K42" s="25" t="s">
        <v>177</v>
      </c>
      <c r="L42" s="25" t="s">
        <v>145</v>
      </c>
      <c r="M42" s="25" t="s">
        <v>146</v>
      </c>
    </row>
    <row r="43" ht="15" customHeight="1" spans="2:13">
      <c r="B43" s="8"/>
      <c r="J43" s="26"/>
      <c r="K43" s="27"/>
      <c r="L43" s="27"/>
      <c r="M43" s="27"/>
    </row>
    <row r="44" ht="32" customHeight="1" spans="2:13">
      <c r="B44" s="8" t="s">
        <v>178</v>
      </c>
      <c r="C44" s="17" t="s">
        <v>166</v>
      </c>
      <c r="D44" s="10" t="s">
        <v>143</v>
      </c>
      <c r="E44" s="10"/>
      <c r="F44" s="10"/>
      <c r="G44" s="10"/>
      <c r="H44" s="10"/>
      <c r="I44" s="17" t="s">
        <v>166</v>
      </c>
      <c r="J44" s="24"/>
      <c r="K44" s="25" t="s">
        <v>179</v>
      </c>
      <c r="L44" s="25" t="s">
        <v>145</v>
      </c>
      <c r="M44" s="25" t="s">
        <v>146</v>
      </c>
    </row>
    <row r="45" spans="2:13">
      <c r="B45" s="8"/>
      <c r="J45" s="26"/>
      <c r="K45" s="27"/>
      <c r="L45" s="27"/>
      <c r="M45" s="27"/>
    </row>
    <row r="46" spans="2:13">
      <c r="B46" s="8"/>
      <c r="E46" s="14" t="s">
        <v>152</v>
      </c>
      <c r="F46" s="14"/>
      <c r="G46" s="14"/>
      <c r="J46" s="26"/>
      <c r="K46" s="27"/>
      <c r="L46" s="27"/>
      <c r="M46" s="27"/>
    </row>
    <row r="47" ht="32" customHeight="1" spans="2:13">
      <c r="B47" s="8" t="s">
        <v>180</v>
      </c>
      <c r="C47" s="17" t="s">
        <v>166</v>
      </c>
      <c r="D47" s="10" t="s">
        <v>154</v>
      </c>
      <c r="E47" s="9" t="s">
        <v>142</v>
      </c>
      <c r="F47" s="15"/>
      <c r="G47" s="9" t="s">
        <v>142</v>
      </c>
      <c r="H47" s="10" t="s">
        <v>154</v>
      </c>
      <c r="I47" s="17" t="s">
        <v>166</v>
      </c>
      <c r="J47" s="24"/>
      <c r="K47" s="25" t="s">
        <v>144</v>
      </c>
      <c r="L47" s="25" t="s">
        <v>145</v>
      </c>
      <c r="M47" s="25" t="s">
        <v>146</v>
      </c>
    </row>
    <row r="48" spans="2:13">
      <c r="B48" s="8"/>
      <c r="J48" s="26"/>
      <c r="K48" s="27"/>
      <c r="L48" s="27"/>
      <c r="M48" s="27"/>
    </row>
    <row r="49" spans="2:13">
      <c r="B49" s="8"/>
      <c r="E49" s="14" t="s">
        <v>158</v>
      </c>
      <c r="F49" s="14"/>
      <c r="G49" s="14"/>
      <c r="J49" s="26"/>
      <c r="K49" s="27"/>
      <c r="L49" s="27"/>
      <c r="M49" s="27"/>
    </row>
    <row r="50" ht="32" customHeight="1" spans="2:13">
      <c r="B50" s="8" t="s">
        <v>181</v>
      </c>
      <c r="C50" s="17" t="s">
        <v>166</v>
      </c>
      <c r="D50" s="10" t="s">
        <v>154</v>
      </c>
      <c r="E50" s="11" t="s">
        <v>148</v>
      </c>
      <c r="F50" s="15"/>
      <c r="G50" s="11" t="s">
        <v>148</v>
      </c>
      <c r="H50" s="10" t="s">
        <v>154</v>
      </c>
      <c r="I50" s="17" t="s">
        <v>166</v>
      </c>
      <c r="J50" s="24"/>
      <c r="K50" s="28" t="s">
        <v>151</v>
      </c>
      <c r="L50" s="25" t="s">
        <v>145</v>
      </c>
      <c r="M50" s="25" t="s">
        <v>146</v>
      </c>
    </row>
    <row r="51" spans="2:13">
      <c r="B51" s="18"/>
      <c r="C51" s="19"/>
      <c r="D51" s="19"/>
      <c r="E51" s="19"/>
      <c r="F51" s="19"/>
      <c r="G51" s="19"/>
      <c r="H51" s="19"/>
      <c r="I51" s="19"/>
      <c r="J51" s="29"/>
      <c r="K51" s="30"/>
      <c r="L51" s="30"/>
      <c r="M51" s="30"/>
    </row>
  </sheetData>
  <mergeCells count="21">
    <mergeCell ref="B2:M2"/>
    <mergeCell ref="K4:L4"/>
    <mergeCell ref="D7:H7"/>
    <mergeCell ref="D9:H9"/>
    <mergeCell ref="D11:H11"/>
    <mergeCell ref="E13:G13"/>
    <mergeCell ref="E16:G16"/>
    <mergeCell ref="E19:G19"/>
    <mergeCell ref="E22:G22"/>
    <mergeCell ref="E25:G25"/>
    <mergeCell ref="D28:H28"/>
    <mergeCell ref="D30:H30"/>
    <mergeCell ref="E32:G32"/>
    <mergeCell ref="E35:G35"/>
    <mergeCell ref="E38:G38"/>
    <mergeCell ref="E41:G41"/>
    <mergeCell ref="D44:H44"/>
    <mergeCell ref="E46:G46"/>
    <mergeCell ref="E49:G49"/>
    <mergeCell ref="M4:M5"/>
    <mergeCell ref="B4:J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导线物料参数</vt:lpstr>
      <vt:lpstr>特殊情况1</vt:lpstr>
      <vt:lpstr>备注信息</vt:lpstr>
      <vt:lpstr>数学模型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慎镈珑</cp:lastModifiedBy>
  <dcterms:created xsi:type="dcterms:W3CDTF">2023-05-12T11:15:00Z</dcterms:created>
  <dcterms:modified xsi:type="dcterms:W3CDTF">2025-04-27T01:26:28Z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600F274845414D759FAB7EAF0F28F61B_13</vt:lpwstr>
  </property>
</Properties>
</file>